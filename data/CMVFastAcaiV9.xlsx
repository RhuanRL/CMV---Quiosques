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icio" sheetId="1" state="visible" r:id="rId3"/>
    <sheet name="Açaí em Ondas" sheetId="2" state="visible" r:id="rId4"/>
    <sheet name="Configuracoes" sheetId="3" state="visible" r:id="rId5"/>
    <sheet name="Insumos" sheetId="4" state="visible" r:id="rId6"/>
    <sheet name="Embalagens" sheetId="5" state="visible" r:id="rId7"/>
    <sheet name="Ficha_Tecnica" sheetId="6" state="visible" r:id="rId8"/>
    <sheet name="Receitas" sheetId="7" state="visible" r:id="rId9"/>
    <sheet name="Rateio" sheetId="8" state="visible" r:id="rId10"/>
    <sheet name="Precificacao" sheetId="9" state="visible" r:id="rId11"/>
    <sheet name="Dashboard" sheetId="10" state="visible" r:id="rId12"/>
    <sheet name="Simulador" sheetId="11" state="visible" r:id="rId13"/>
    <sheet name="Listas" sheetId="12" state="hidden" r:id="rId14"/>
    <sheet name="Linha Premium" sheetId="13" state="visible" r:id="rId15"/>
    <sheet name="Linha Tradicional" sheetId="14" state="visible" r:id="rId16"/>
    <sheet name="Toppings" sheetId="15" state="visible" r:id="rId17"/>
    <sheet name="Milkshakes" sheetId="16" state="visible" r:id="rId18"/>
    <sheet name="Bebidas" sheetId="17" state="visible" r:id="rId19"/>
  </sheets>
  <definedNames>
    <definedName function="false" hidden="false" name="Comissao" vbProcedure="false">Configuracoes!$B$9</definedName>
    <definedName function="false" hidden="false" name="DescontoMax" vbProcedure="false">Configuracoes!$B$11</definedName>
    <definedName function="false" hidden="false" name="Embalagens_CustoUnit" vbProcedure="false">Embalagens!$E$5:$E$25</definedName>
    <definedName function="false" hidden="false" name="Embalagens_Nome" vbProcedure="false">Embalagens!$A$5:$A$25</definedName>
    <definedName function="false" hidden="false" name="FichaTecnica_Categoria" vbProcedure="false">Ficha_Tecnica!$B$5:$B$480</definedName>
    <definedName function="false" hidden="false" name="FichaTecnica_CustoTotal" vbProcedure="false">Ficha_Tecnica!$G$5:$G$480</definedName>
    <definedName function="false" hidden="false" name="FichaTecnica_CustoUnit" vbProcedure="false">Ficha_Tecnica!$F$5:$F$480</definedName>
    <definedName function="false" hidden="false" name="FichaTecnica_FlagAcai" vbProcedure="false">Ficha_Tecnica!$I$5:$I$480</definedName>
    <definedName function="false" hidden="false" name="FichaTecnica_FlagBanana" vbProcedure="false">Ficha_Tecnica!$J$5:$J$480</definedName>
    <definedName function="false" hidden="false" name="FichaTecnica_FlagEmbalagem" vbProcedure="false">Ficha_Tecnica!$L$5:$L$480</definedName>
    <definedName function="false" hidden="false" name="FichaTecnica_FlagWhey" vbProcedure="false">Ficha_Tecnica!$K$5:$K$480</definedName>
    <definedName function="false" hidden="false" name="FichaTecnica_Ingrediente" vbProcedure="false">Ficha_Tecnica!$C$5:$C$480</definedName>
    <definedName function="false" hidden="false" name="FichaTecnica_Produto" vbProcedure="false">Ficha_Tecnica!$A$5:$A$480</definedName>
    <definedName function="false" hidden="false" name="FichaTecnica_Qtd" vbProcedure="false">Ficha_Tecnica!$D$5:$D$480</definedName>
    <definedName function="false" hidden="false" name="FichaTecnica_QtdGML" vbProcedure="false">Ficha_Tecnica!$H$5:$H$480</definedName>
    <definedName function="false" hidden="false" name="Impostos" vbProcedure="false">Configuracoes!$B$7</definedName>
    <definedName function="false" hidden="false" name="Insumos_Categoria" vbProcedure="false">Insumos!$B$5:$B$85</definedName>
    <definedName function="false" hidden="false" name="Insumos_CustoUnit" vbProcedure="false">Insumos!$J$5:$J$85</definedName>
    <definedName function="false" hidden="false" name="Insumos_Fornecedor" vbProcedure="false">Insumos!$C$5:$C$85</definedName>
    <definedName function="false" hidden="false" name="Insumos_Ingrediente" vbProcedure="false">Insumos!$A$5:$A$85</definedName>
    <definedName function="false" hidden="false" name="Insumos_Unidade" vbProcedure="false">Insumos!$D$5:$D$85</definedName>
    <definedName function="false" hidden="false" name="Listas_Produtos" vbProcedure="false">Listas!$A$2:$A$110</definedName>
    <definedName function="false" hidden="false" name="LojaSelecionada" vbProcedure="false">Configuracoes!$B$13</definedName>
    <definedName function="false" hidden="false" name="MargemBrutaDesejada" vbProcedure="false">Configuracoes!$B$5</definedName>
    <definedName function="false" hidden="false" name="MargemLiquidaDesejada" vbProcedure="false">Configuracoes!$B$6</definedName>
    <definedName function="false" hidden="false" name="Perdas" vbProcedure="false">Configuracoes!$B$10</definedName>
    <definedName function="false" hidden="false" name="Rateio_CustoFixoPorVendaLinha" vbProcedure="false">Rateio!$B$26:$G$26</definedName>
    <definedName function="false" hidden="false" name="Rateio_LojasHeader" vbProcedure="false">Rateio!$B$4:$G$4</definedName>
    <definedName function="false" hidden="false" name="Receitas_CMV" vbProcedure="false">Receitas!$J$5:$J$90</definedName>
    <definedName function="false" hidden="false" name="Receitas_CustoFixo" vbProcedure="false">Receitas!$G$5:$G$90</definedName>
    <definedName function="false" hidden="false" name="Receitas_CustoInsumos" vbProcedure="false">Receitas!$E$5:$E$90</definedName>
    <definedName function="false" hidden="false" name="Receitas_CustoInsumosPerdas" vbProcedure="false">Receitas!$F$5:$F$90</definedName>
    <definedName function="false" hidden="false" name="Receitas_CustoTotalUnit" vbProcedure="false">Receitas!$H$5:$H$90</definedName>
    <definedName function="false" hidden="false" name="Receitas_Grupo" vbProcedure="false">Receitas!$B$5:$B$90</definedName>
    <definedName function="false" hidden="false" name="Receitas_LucroLiquido" vbProcedure="false">Receitas!$L$5:$L$90</definedName>
    <definedName function="false" hidden="false" name="Receitas_Margem" vbProcedure="false">Receitas!$K$5:$K$90</definedName>
    <definedName function="false" hidden="false" name="Receitas_PrecoPraticado" vbProcedure="false">Receitas!$C$5:$C$90</definedName>
    <definedName function="false" hidden="false" name="Receitas_PrecoSugerido" vbProcedure="false">Receitas!$I$5:$I$90</definedName>
    <definedName function="false" hidden="false" name="Receitas_Produto" vbProcedure="false">Receitas!$A$5:$A$90</definedName>
    <definedName function="false" hidden="false" name="TaxaCartao" vbProcedure="false">Configuracoes!$B$8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Fast Açaí</author>
  </authors>
  <commentList>
    <comment ref="F5" authorId="0">
      <text>
        <r>
          <rPr>
            <sz val="10"/>
            <rFont val="Arial"/>
            <family val="2"/>
          </rPr>
          <t xml:space="preserve">Tamanho da caixa em ml (pré-preenchido com 9L = 9000ml). Ajuste se o tamanho real da caixa for diferente.</t>
        </r>
      </text>
    </comment>
    <comment ref="F6" authorId="0">
      <text>
        <r>
          <rPr>
            <sz val="10"/>
            <rFont val="Arial"/>
            <family val="2"/>
          </rPr>
          <t xml:space="preserve">Tamanho da caixa em ml (pré-preenchido com 9L = 9000ml). Ajuste se o tamanho real da caixa for diferente.</t>
        </r>
      </text>
    </comment>
    <comment ref="F7" authorId="0">
      <text>
        <r>
          <rPr>
            <sz val="10"/>
            <rFont val="Arial"/>
            <family val="2"/>
          </rPr>
          <t xml:space="preserve">Tamanho da caixa em ml (pré-preenchido com 1L = 1000ml). Ajuste se o tamanho real da caixa for diferente.</t>
        </r>
      </text>
    </comment>
    <comment ref="F35" authorId="0">
      <text>
        <r>
          <rPr>
            <sz val="10"/>
            <rFont val="Arial"/>
            <family val="2"/>
          </rPr>
          <t xml:space="preserve">Compra por pote (1 unidade). Digite o Valor Pago = custo do pote já pronto, comprado da fábrica.</t>
        </r>
      </text>
    </comment>
    <comment ref="F36" authorId="0">
      <text>
        <r>
          <rPr>
            <sz val="10"/>
            <rFont val="Arial"/>
            <family val="2"/>
          </rPr>
          <t xml:space="preserve">Compra por pote (1 unidade). Digite o Valor Pago = custo do pote já pronto, comprado da fábrica.</t>
        </r>
      </text>
    </comment>
    <comment ref="F37" authorId="0">
      <text>
        <r>
          <rPr>
            <sz val="10"/>
            <rFont val="Arial"/>
            <family val="2"/>
          </rPr>
          <t xml:space="preserve">Compra por pote (1 unidade). Digite o Valor Pago = custo do pote já pronto, comprado da fábrica.</t>
        </r>
      </text>
    </comment>
    <comment ref="F38" authorId="0">
      <text>
        <r>
          <rPr>
            <sz val="10"/>
            <rFont val="Arial"/>
            <family val="2"/>
          </rPr>
          <t xml:space="preserve">Compra por pote (1 unidade). Digite o Valor Pago = custo do pote já pronto, comprado da fábrica.</t>
        </r>
      </text>
    </comment>
    <comment ref="F39" authorId="0">
      <text>
        <r>
          <rPr>
            <sz val="10"/>
            <rFont val="Arial"/>
            <family val="2"/>
          </rPr>
          <t xml:space="preserve">Compra por pote (1 unidade). Digite o Valor Pago = custo do pote já pronto, comprado da fábrica.</t>
        </r>
      </text>
    </comment>
    <comment ref="F40" authorId="0">
      <text>
        <r>
          <rPr>
            <sz val="10"/>
            <rFont val="Arial"/>
            <family val="2"/>
          </rPr>
          <t xml:space="preserve">Compra por pote (1 unidade). Digite o Valor Pago = custo do pote já pronto, comprado da fábrica.</t>
        </r>
      </text>
    </comment>
    <comment ref="F41" authorId="0">
      <text>
        <r>
          <rPr>
            <sz val="10"/>
            <rFont val="Arial"/>
            <family val="2"/>
          </rPr>
          <t xml:space="preserve">Compra por pote (1 unidade). Digite o Valor Pago = custo do pote já pronto, comprado da fábrica.</t>
        </r>
      </text>
    </comment>
    <comment ref="F42" authorId="0">
      <text>
        <r>
          <rPr>
            <sz val="10"/>
            <rFont val="Arial"/>
            <family val="2"/>
          </rPr>
          <t xml:space="preserve">Compra por pote (1 unidade). Digite o Valor Pago = custo do pote já pronto, comprado da fábrica.</t>
        </r>
      </text>
    </comment>
    <comment ref="G5" authorId="0">
      <text>
        <r>
          <rPr>
            <sz val="10"/>
            <rFont val="Arial"/>
            <family val="2"/>
          </rPr>
          <t xml:space="preserve">Valor cobrado internamente pela caixa de 9L (custo de produção/transferência da franqueadora para o quiosque) — não o preço por litro.</t>
        </r>
      </text>
    </comment>
    <comment ref="G6" authorId="0">
      <text>
        <r>
          <rPr>
            <sz val="10"/>
            <rFont val="Arial"/>
            <family val="2"/>
          </rPr>
          <t xml:space="preserve">Valor cobrado internamente pela caixa de 9L (custo de produção/transferência da franqueadora para o quiosque) — não o preço por litro.</t>
        </r>
      </text>
    </comment>
    <comment ref="G7" authorId="0">
      <text>
        <r>
          <rPr>
            <sz val="10"/>
            <rFont val="Arial"/>
            <family val="2"/>
          </rPr>
          <t xml:space="preserve">Valor cobrado internamente pela caixa de 1L (custo de produção/transferência da franqueadora para o quiosque) — não o preço por litro.</t>
        </r>
      </text>
    </comment>
    <comment ref="H5" authorId="0">
      <text>
        <r>
          <rPr>
            <sz val="10"/>
            <rFont val="Arial"/>
            <family val="2"/>
          </rPr>
          <t xml:space="preserve">Frete/transporte da caixa até o quiosque, se houver custo separado. Deixe 0 se já estiver incluso.</t>
        </r>
      </text>
    </comment>
    <comment ref="H6" authorId="0">
      <text>
        <r>
          <rPr>
            <sz val="10"/>
            <rFont val="Arial"/>
            <family val="2"/>
          </rPr>
          <t xml:space="preserve">Frete/transporte da caixa até o quiosque, se houver custo separado. Deixe 0 se já estiver incluso.</t>
        </r>
      </text>
    </comment>
    <comment ref="H7" authorId="0">
      <text>
        <r>
          <rPr>
            <sz val="10"/>
            <rFont val="Arial"/>
            <family val="2"/>
          </rPr>
          <t xml:space="preserve">Frete/transporte da caixa até o quiosque, se houver custo separado. Deixe 0 se já estiver incluso.</t>
        </r>
      </text>
    </comment>
  </commentList>
</comments>
</file>

<file path=xl/sharedStrings.xml><?xml version="1.0" encoding="utf-8"?>
<sst xmlns="http://schemas.openxmlformats.org/spreadsheetml/2006/main" count="1562" uniqueCount="330">
  <si>
    <t xml:space="preserve">🍇  FAST AÇAÍ — CMV Padrão para Franquias Próprias</t>
  </si>
  <si>
    <t xml:space="preserve">Matéria-prima, coberturas e embalagens têm o MESMO preço em todas as lojas (compra centralizada da franquia) — só os custos fixos mudam de loja para loja.</t>
  </si>
  <si>
    <t xml:space="preserve">👉 Para mostrar aos sócios, use a aba RESUMO — mesmos produtos e preços do cardápio, sem fórmulas visíveis. As demais abas são a engenharia por trás dos números.</t>
  </si>
  <si>
    <t xml:space="preserve">Como usar (ordem recomendada)</t>
  </si>
  <si>
    <t xml:space="preserve">1. Insumos</t>
  </si>
  <si>
    <t xml:space="preserve">Preencha os preços: Bases (Açaí/Cupuaçu) pelo valor da caixa de 9L produzida pela franqueadora; Coberturas por pacote (30g calculado sozinho).</t>
  </si>
  <si>
    <t xml:space="preserve">2. Embalagens</t>
  </si>
  <si>
    <t xml:space="preserve">Preencha o valor da caixa de copos 200/300/500ml, tampas e canudo.</t>
  </si>
  <si>
    <t xml:space="preserve">3. Ficha_Tecnica</t>
  </si>
  <si>
    <t xml:space="preserve">Já vem pronta com as receitas dos 58 itens do cardápio real (Açaí em Ondas + 9 receitas, Linha Premium, Linha Tradicional, Milkshakes, Bebidas) — ajuste só se mudar alguma receita.</t>
  </si>
  <si>
    <t xml:space="preserve">4. Rateio</t>
  </si>
  <si>
    <t xml:space="preserve">Uma coluna por loja: preencha aluguel, energia, água, funcionários etc. de cada quiosque.</t>
  </si>
  <si>
    <t xml:space="preserve">5. Configuracoes</t>
  </si>
  <si>
    <t xml:space="preserve">Escolha a 'Loja Selecionada' e ajuste margem, impostos, taxa de cartão e comissão.</t>
  </si>
  <si>
    <t xml:space="preserve">6. Receitas</t>
  </si>
  <si>
    <t xml:space="preserve">Preço praticado (do cardápio) x custo real, CMV e margem de cada item — 100% automático.</t>
  </si>
  <si>
    <t xml:space="preserve">7. Abas por categoria</t>
  </si>
  <si>
    <t xml:space="preserve">Açaí em Ondas, Linha Premium, Linha Tradicional, Toppings, Milkshakes e Bebidas — mesma informação da Receitas, organizada por seção do cardápio (tamanhos lado a lado) e pronta para mostrar aos sócios.</t>
  </si>
  <si>
    <t xml:space="preserve">8. Precificacao / Dashboard / Simulador</t>
  </si>
  <si>
    <t xml:space="preserve">Calculadora rápida, visão gerencial e testes de variação de preço.</t>
  </si>
  <si>
    <t xml:space="preserve">Para replicar para outra loja</t>
  </si>
  <si>
    <t xml:space="preserve">Como os insumos são iguais para todas as lojas, você NÃO precisa duplicar o arquivo: só renomeie uma coluna em branco da aba Rateio com o nome do novo quiosque, preencha os custos fixos dele e selecione essa loja em Configurações.</t>
  </si>
  <si>
    <t xml:space="preserve">Legenda de cores</t>
  </si>
  <si>
    <t xml:space="preserve">Texto azul</t>
  </si>
  <si>
    <t xml:space="preserve">Célula de entrada — preencha com o valor da nota fiscal.</t>
  </si>
  <si>
    <t xml:space="preserve">Texto preto</t>
  </si>
  <si>
    <t xml:space="preserve">Fórmula — calculada automaticamente, evite editar.</t>
  </si>
  <si>
    <t xml:space="preserve">Texto verde</t>
  </si>
  <si>
    <t xml:space="preserve">Link com valor de outra aba.</t>
  </si>
  <si>
    <t xml:space="preserve">🟢 🟡 🔴</t>
  </si>
  <si>
    <t xml:space="preserve">Semáforo de margem: saudável / atenção / abaixo da meta (aba Receitas).</t>
  </si>
  <si>
    <t xml:space="preserve">🍇  AÇAÍ EM ONDAS &amp; RECEITAS FAST — Preço x Custo por Tamanho</t>
  </si>
  <si>
    <t xml:space="preserve">Compare o mesmo copo (P/M/G) lado a lado. Preço, custo, CMV e margem vêm da aba Receitas — não precisa mexer em fórmula nenhuma aqui.</t>
  </si>
  <si>
    <t xml:space="preserve">Produto</t>
  </si>
  <si>
    <t xml:space="preserve">200ml</t>
  </si>
  <si>
    <t xml:space="preserve">300ml</t>
  </si>
  <si>
    <t xml:space="preserve">500ml</t>
  </si>
  <si>
    <t xml:space="preserve">Preço (R$)</t>
  </si>
  <si>
    <t xml:space="preserve">Custo Total (R$)</t>
  </si>
  <si>
    <t xml:space="preserve">CMV (%)</t>
  </si>
  <si>
    <t xml:space="preserve">Margem (%)</t>
  </si>
  <si>
    <t xml:space="preserve">Açaí em Ondas</t>
  </si>
  <si>
    <t xml:space="preserve">Fast Classic</t>
  </si>
  <si>
    <t xml:space="preserve">Power</t>
  </si>
  <si>
    <t xml:space="preserve">Choco Nuts</t>
  </si>
  <si>
    <t xml:space="preserve">Trupe Fast</t>
  </si>
  <si>
    <t xml:space="preserve">Berry</t>
  </si>
  <si>
    <t xml:space="preserve">Granola Fit</t>
  </si>
  <si>
    <t xml:space="preserve">Fast Protein</t>
  </si>
  <si>
    <t xml:space="preserve">Berry Protein</t>
  </si>
  <si>
    <t xml:space="preserve">Nuts Protein</t>
  </si>
  <si>
    <t xml:space="preserve">⚙️  CONFIGURAÇÕES — Parâmetros Globais de Precificação</t>
  </si>
  <si>
    <t xml:space="preserve">Edite apenas as células em AZUL. Estes parâmetros valem para TODAS as lojas — o que muda de loja para loja são os custos fixos, na aba Rateio. Escolha a loja ativa no campo 'Loja Selecionada' abaixo.</t>
  </si>
  <si>
    <t xml:space="preserve">Parâmetro</t>
  </si>
  <si>
    <t xml:space="preserve">Valor</t>
  </si>
  <si>
    <t xml:space="preserve">Observação</t>
  </si>
  <si>
    <t xml:space="preserve">Margem Bruta Desejada (%)</t>
  </si>
  <si>
    <t xml:space="preserve">Referência de mercado para redes de açaí (60% a 70%).</t>
  </si>
  <si>
    <t xml:space="preserve">Margem Líquida Desejada (%)</t>
  </si>
  <si>
    <t xml:space="preserve">Meta de lucro líquido após impostos, taxas e comissões.</t>
  </si>
  <si>
    <t xml:space="preserve">Impostos (%)</t>
  </si>
  <si>
    <t xml:space="preserve">Alíquota efetiva estimada. Ajuste ao seu regime tributário.</t>
  </si>
  <si>
    <t xml:space="preserve">Taxa Cartão (%)</t>
  </si>
  <si>
    <t xml:space="preserve">Taxa média de cartão/maquininha sobre o valor da venda.</t>
  </si>
  <si>
    <t xml:space="preserve">Comissão (%)</t>
  </si>
  <si>
    <t xml:space="preserve">Comissão média de apps de delivery. Zere se vender só no balcão.</t>
  </si>
  <si>
    <t xml:space="preserve">Perdas (%)</t>
  </si>
  <si>
    <t xml:space="preserve">Perda média de insumos (validade, erro de preparo), aplicada a todos os produtos.</t>
  </si>
  <si>
    <t xml:space="preserve">Desconto Máximo Permitido (%)</t>
  </si>
  <si>
    <t xml:space="preserve">Limite de desconto em promoções sem corroer a margem mínima.</t>
  </si>
  <si>
    <t xml:space="preserve">Loja Ativa</t>
  </si>
  <si>
    <t xml:space="preserve">Loja Selecionada</t>
  </si>
  <si>
    <t xml:space="preserve">Loja 1</t>
  </si>
  <si>
    <t xml:space="preserve">Define de qual loja (aba Rateio) vêm os custos fixos usados no CMV e no preço sugerido.</t>
  </si>
  <si>
    <t xml:space="preserve">🍇  INSUMOS — Preencha os Preços de Acordo com a Nota Fiscal</t>
  </si>
  <si>
    <t xml:space="preserve">BASES (Açaí/Cupuaçu): produzidas pela franqueadora e enviadas ao quiosque em caixa de calda pronta (padrão 9L) — confirme a Quantidade Comprada (ml da caixa) e digite o Valor Pago = valor cobrado pela caixa. COBERTURAS (30g): informe o valor pago e o peso do pacote comprado — o custo da porção de 30g é calculado sozinho na última coluna.</t>
  </si>
  <si>
    <t xml:space="preserve">Ingrediente</t>
  </si>
  <si>
    <t xml:space="preserve">Categoria</t>
  </si>
  <si>
    <t xml:space="preserve">Fornecedor</t>
  </si>
  <si>
    <t xml:space="preserve">Unidade</t>
  </si>
  <si>
    <t xml:space="preserve">Porção Padrão</t>
  </si>
  <si>
    <t xml:space="preserve">Quantidade Comprada</t>
  </si>
  <si>
    <t xml:space="preserve">Valor Pago (R$)</t>
  </si>
  <si>
    <t xml:space="preserve">Frete (R$)</t>
  </si>
  <si>
    <t xml:space="preserve">Valor Final (R$)</t>
  </si>
  <si>
    <t xml:space="preserve">Custo por g/ml/un (R$)</t>
  </si>
  <si>
    <t xml:space="preserve">Status</t>
  </si>
  <si>
    <t xml:space="preserve">Custo da Porção 30g (R$)</t>
  </si>
  <si>
    <t xml:space="preserve">Açaí</t>
  </si>
  <si>
    <t xml:space="preserve">Bases (Produção Própria)</t>
  </si>
  <si>
    <t xml:space="preserve">ml</t>
  </si>
  <si>
    <t xml:space="preserve">Caixa de 9L</t>
  </si>
  <si>
    <t xml:space="preserve">Ativo</t>
  </si>
  <si>
    <t xml:space="preserve">Cupuaçu</t>
  </si>
  <si>
    <t xml:space="preserve">Leite Integral (Milkshake)</t>
  </si>
  <si>
    <t xml:space="preserve">Caixa de 1L</t>
  </si>
  <si>
    <t xml:space="preserve">Leite em pó</t>
  </si>
  <si>
    <t xml:space="preserve">Coberturas (30g)</t>
  </si>
  <si>
    <t xml:space="preserve">g</t>
  </si>
  <si>
    <t xml:space="preserve">30g</t>
  </si>
  <si>
    <t xml:space="preserve">Banana</t>
  </si>
  <si>
    <t xml:space="preserve">Morango</t>
  </si>
  <si>
    <t xml:space="preserve">Granola</t>
  </si>
  <si>
    <t xml:space="preserve">Leite condensado</t>
  </si>
  <si>
    <t xml:space="preserve">Paçoca</t>
  </si>
  <si>
    <t xml:space="preserve">Aveia</t>
  </si>
  <si>
    <t xml:space="preserve">Ovomaltine</t>
  </si>
  <si>
    <t xml:space="preserve">Amendoim Granulado</t>
  </si>
  <si>
    <t xml:space="preserve">Pastilha de Chocolate</t>
  </si>
  <si>
    <t xml:space="preserve">Calda de Morango</t>
  </si>
  <si>
    <t xml:space="preserve">30ml</t>
  </si>
  <si>
    <t xml:space="preserve">Calda de Maracujá</t>
  </si>
  <si>
    <t xml:space="preserve">Calda de Avelã</t>
  </si>
  <si>
    <t xml:space="preserve">Mel</t>
  </si>
  <si>
    <t xml:space="preserve">Whey Protein</t>
  </si>
  <si>
    <t xml:space="preserve">Nutella</t>
  </si>
  <si>
    <t xml:space="preserve">Pasta de Amendoim</t>
  </si>
  <si>
    <t xml:space="preserve">Canudo Wafer</t>
  </si>
  <si>
    <t xml:space="preserve">un</t>
  </si>
  <si>
    <t xml:space="preserve">1 unidade</t>
  </si>
  <si>
    <t xml:space="preserve">Copo 200ml</t>
  </si>
  <si>
    <t xml:space="preserve">Embalagens</t>
  </si>
  <si>
    <t xml:space="preserve">ver aba Embalagens</t>
  </si>
  <si>
    <t xml:space="preserve">Copo 300ml</t>
  </si>
  <si>
    <t xml:space="preserve">Copo 500ml</t>
  </si>
  <si>
    <t xml:space="preserve">Tampa 200ml</t>
  </si>
  <si>
    <t xml:space="preserve">Tampa 300ml</t>
  </si>
  <si>
    <t xml:space="preserve">Tampa 500ml</t>
  </si>
  <si>
    <t xml:space="preserve">Copo Milkshake</t>
  </si>
  <si>
    <t xml:space="preserve">Tampa Milkshake</t>
  </si>
  <si>
    <t xml:space="preserve">Canudo</t>
  </si>
  <si>
    <t xml:space="preserve">Açaí Zero Açúcar 250ml</t>
  </si>
  <si>
    <t xml:space="preserve">Linha Premium (Comprada)</t>
  </si>
  <si>
    <t xml:space="preserve">1 pote</t>
  </si>
  <si>
    <t xml:space="preserve">Açaí Zero Açúcar 500ml</t>
  </si>
  <si>
    <t xml:space="preserve">Açaí Puro 250ml</t>
  </si>
  <si>
    <t xml:space="preserve">Açaí Puro 500ml</t>
  </si>
  <si>
    <t xml:space="preserve">Açaí Banana 250ml</t>
  </si>
  <si>
    <t xml:space="preserve">Açaí Banana 500ml</t>
  </si>
  <si>
    <t xml:space="preserve">Açaí Morango 250ml</t>
  </si>
  <si>
    <t xml:space="preserve">Açaí Morango 500ml</t>
  </si>
  <si>
    <t xml:space="preserve">Colher</t>
  </si>
  <si>
    <t xml:space="preserve">Consumíveis</t>
  </si>
  <si>
    <t xml:space="preserve">Guardanapo</t>
  </si>
  <si>
    <t xml:space="preserve">Sacola</t>
  </si>
  <si>
    <t xml:space="preserve">Água sem Gás 500ml</t>
  </si>
  <si>
    <t xml:space="preserve">Bebidas</t>
  </si>
  <si>
    <t xml:space="preserve">Água com Gás 500ml</t>
  </si>
  <si>
    <t xml:space="preserve">Água de Coco 200ml</t>
  </si>
  <si>
    <t xml:space="preserve">Refrigerante Lata 350ml</t>
  </si>
  <si>
    <t xml:space="preserve">Refrigerante 600ml</t>
  </si>
  <si>
    <t xml:space="preserve">Isotônico 500ml</t>
  </si>
  <si>
    <t xml:space="preserve">Suco Natural 300ml</t>
  </si>
  <si>
    <t xml:space="preserve">Suco de Açaí 200ml</t>
  </si>
  <si>
    <t xml:space="preserve">Álcool 70%</t>
  </si>
  <si>
    <t xml:space="preserve">Limpeza</t>
  </si>
  <si>
    <t xml:space="preserve">—</t>
  </si>
  <si>
    <t xml:space="preserve">Detergente</t>
  </si>
  <si>
    <t xml:space="preserve">📦  EMBALAGENS — Copos 200/300/500ml, Tampas e Canudo</t>
  </si>
  <si>
    <t xml:space="preserve">Preencha Quantidade e Valor conforme a nota fiscal da caixa/pacote comprado (ex.: caixa com 1000 copos por R$ 175). O Custo Unitário é calculado sozinho e alimenta a aba Insumos.</t>
  </si>
  <si>
    <t xml:space="preserve">Nome</t>
  </si>
  <si>
    <t xml:space="preserve">Quantidade (un/caixa)</t>
  </si>
  <si>
    <t xml:space="preserve">Valor da Caixa (R$)</t>
  </si>
  <si>
    <t xml:space="preserve">Custo Unitário (R$)</t>
  </si>
  <si>
    <t xml:space="preserve">📋  FICHA TÉCNICA — Composição e Custo de Cada Produto</t>
  </si>
  <si>
    <t xml:space="preserve">Um ingrediente por linha. Açaí/Cupuaçu/Leite em ML; coberturas em múltiplos de 30g; embalagens em unidades. Para um NOVO PRODUTO, adicione linhas abaixo — nenhuma fórmula precisa ser alterada.</t>
  </si>
  <si>
    <t xml:space="preserve">Nome do Produto</t>
  </si>
  <si>
    <t xml:space="preserve">Categoria (auto)</t>
  </si>
  <si>
    <t xml:space="preserve">Quantidade Utilizada</t>
  </si>
  <si>
    <t xml:space="preserve">Unidade (auto)</t>
  </si>
  <si>
    <t xml:space="preserve">Qtd g/ml (aux.)</t>
  </si>
  <si>
    <t xml:space="preserve">Flag Açaí</t>
  </si>
  <si>
    <t xml:space="preserve">Flag Banana</t>
  </si>
  <si>
    <t xml:space="preserve">Flag Whey</t>
  </si>
  <si>
    <t xml:space="preserve">Flag Embalagem</t>
  </si>
  <si>
    <t xml:space="preserve">Açaí em Ondas 200ml</t>
  </si>
  <si>
    <t xml:space="preserve">Açaí em Ondas 300ml</t>
  </si>
  <si>
    <t xml:space="preserve">Açaí em Ondas 500ml</t>
  </si>
  <si>
    <t xml:space="preserve">Fast Classic 200ml</t>
  </si>
  <si>
    <t xml:space="preserve">Fast Classic 300ml</t>
  </si>
  <si>
    <t xml:space="preserve">Fast Classic 500ml</t>
  </si>
  <si>
    <t xml:space="preserve">Power 200ml</t>
  </si>
  <si>
    <t xml:space="preserve">Power 300ml</t>
  </si>
  <si>
    <t xml:space="preserve">Power 500ml</t>
  </si>
  <si>
    <t xml:space="preserve">Choco Nuts 200ml</t>
  </si>
  <si>
    <t xml:space="preserve">Choco Nuts 300ml</t>
  </si>
  <si>
    <t xml:space="preserve">Choco Nuts 500ml</t>
  </si>
  <si>
    <t xml:space="preserve">Trupe Fast 200ml</t>
  </si>
  <si>
    <t xml:space="preserve">Trupe Fast 300ml</t>
  </si>
  <si>
    <t xml:space="preserve">Trupe Fast 500ml</t>
  </si>
  <si>
    <t xml:space="preserve">Berry 200ml</t>
  </si>
  <si>
    <t xml:space="preserve">Berry 300ml</t>
  </si>
  <si>
    <t xml:space="preserve">Berry 500ml</t>
  </si>
  <si>
    <t xml:space="preserve">Granola Fit 200ml</t>
  </si>
  <si>
    <t xml:space="preserve">Granola Fit 300ml</t>
  </si>
  <si>
    <t xml:space="preserve">Granola Fit 500ml</t>
  </si>
  <si>
    <t xml:space="preserve">Fast Protein 200ml</t>
  </si>
  <si>
    <t xml:space="preserve">Fast Protein 300ml</t>
  </si>
  <si>
    <t xml:space="preserve">Fast Protein 500ml</t>
  </si>
  <si>
    <t xml:space="preserve">Berry Protein 200ml</t>
  </si>
  <si>
    <t xml:space="preserve">Berry Protein 300ml</t>
  </si>
  <si>
    <t xml:space="preserve">Berry Protein 500ml</t>
  </si>
  <si>
    <t xml:space="preserve">Nuts Protein 200ml</t>
  </si>
  <si>
    <t xml:space="preserve">Nuts Protein 300ml</t>
  </si>
  <si>
    <t xml:space="preserve">Nuts Protein 500ml</t>
  </si>
  <si>
    <t xml:space="preserve">Açaí Tradicional 200ml</t>
  </si>
  <si>
    <t xml:space="preserve">Cupuaçu Tradicional 200ml</t>
  </si>
  <si>
    <t xml:space="preserve">Açaí Tradicional 300ml</t>
  </si>
  <si>
    <t xml:space="preserve">Cupuaçu Tradicional 300ml</t>
  </si>
  <si>
    <t xml:space="preserve">Açaí Tradicional 500ml</t>
  </si>
  <si>
    <t xml:space="preserve">Cupuaçu Tradicional 500ml</t>
  </si>
  <si>
    <t xml:space="preserve">Milkshake Morango</t>
  </si>
  <si>
    <t xml:space="preserve">Milkshake Maracujá</t>
  </si>
  <si>
    <t xml:space="preserve">Milkshake Leite em Pó com Nutella</t>
  </si>
  <si>
    <t xml:space="preserve">Milkshake Crocante com Ovomaltine</t>
  </si>
  <si>
    <t xml:space="preserve">Power Shake</t>
  </si>
  <si>
    <t xml:space="preserve">Protein Shake</t>
  </si>
  <si>
    <t xml:space="preserve">🧾  RECEITAS — Preço do Cardápio x Custo Real de Cada Produto</t>
  </si>
  <si>
    <t xml:space="preserve">'Preço Praticado' já vem preenchido com o valor do seu cardápio — pode ajustar se mudar. As demais colunas calculam sozinhas, usando a loja selecionada em Configurações (célula B13).</t>
  </si>
  <si>
    <t xml:space="preserve">Grupo (Cardápio)</t>
  </si>
  <si>
    <t xml:space="preserve">Preço Praticado (R$)</t>
  </si>
  <si>
    <t xml:space="preserve">Peso Total (g/ml)</t>
  </si>
  <si>
    <t xml:space="preserve">Custo Insumos (R$)</t>
  </si>
  <si>
    <t xml:space="preserve">Custo Insumos c/ Perdas (R$)</t>
  </si>
  <si>
    <t xml:space="preserve">Custo Fixo Rateado (R$)</t>
  </si>
  <si>
    <t xml:space="preserve">Custo Total Unitário (R$)</t>
  </si>
  <si>
    <t xml:space="preserve">Preço Sugerido (R$)</t>
  </si>
  <si>
    <t xml:space="preserve">CMV Real (%)</t>
  </si>
  <si>
    <t xml:space="preserve">Margem Real (%)</t>
  </si>
  <si>
    <t xml:space="preserve">Lucro Líquido Real (R$)</t>
  </si>
  <si>
    <t xml:space="preserve">Praticado − Sugerido (R$)</t>
  </si>
  <si>
    <t xml:space="preserve">Açaí em Ondas &amp; Receitas Fast</t>
  </si>
  <si>
    <t xml:space="preserve">Linha Premium</t>
  </si>
  <si>
    <t xml:space="preserve">Linha Tradicional</t>
  </si>
  <si>
    <t xml:space="preserve">Milkshakes</t>
  </si>
  <si>
    <t xml:space="preserve">🏠  RATEIO — Custos Fixos por Loja/Quiosque</t>
  </si>
  <si>
    <t xml:space="preserve">Uma coluna por loja. Como matéria-prima, coberturas e embalagens têm o mesmo preço em todas as lojas (compra centralizada da franquia), só o que muda de loja para loja é esta tabela. Renomeie os cabeçalhos (linha 4) com o nome de cada loja/quiosque — a lista em Configurações acompanha automaticamente.</t>
  </si>
  <si>
    <t xml:space="preserve">Item de Custo Fixo (R$/mês)</t>
  </si>
  <si>
    <t xml:space="preserve">Loja 2</t>
  </si>
  <si>
    <t xml:space="preserve">Loja 3</t>
  </si>
  <si>
    <t xml:space="preserve">Loja 4</t>
  </si>
  <si>
    <t xml:space="preserve">Loja 5</t>
  </si>
  <si>
    <t xml:space="preserve">Loja 6</t>
  </si>
  <si>
    <t xml:space="preserve">Aluguel</t>
  </si>
  <si>
    <t xml:space="preserve">Energia</t>
  </si>
  <si>
    <t xml:space="preserve">Água</t>
  </si>
  <si>
    <t xml:space="preserve">Internet</t>
  </si>
  <si>
    <t xml:space="preserve">Marketing / Royalties de Franquia</t>
  </si>
  <si>
    <t xml:space="preserve">Sistema</t>
  </si>
  <si>
    <t xml:space="preserve">Contabilidade</t>
  </si>
  <si>
    <t xml:space="preserve">Funcionários (Folha + Encargos)</t>
  </si>
  <si>
    <t xml:space="preserve">Pró-labore</t>
  </si>
  <si>
    <t xml:space="preserve">Outros</t>
  </si>
  <si>
    <t xml:space="preserve">Total de Custos Fixos Mensais (R$)</t>
  </si>
  <si>
    <t xml:space="preserve">Volume Médio Mensal de Vendas (unid)</t>
  </si>
  <si>
    <t xml:space="preserve">Custo Fixo Rateado por Venda (R$)</t>
  </si>
  <si>
    <t xml:space="preserve">🧮  PRECIFICAÇÃO — Calculadora de Preço Ideal</t>
  </si>
  <si>
    <t xml:space="preserve">Escolha um produto e informe a margem desejada e o CMV máximo aceitável. Usa o custo fixo da Loja Ativa definida em Configurações.</t>
  </si>
  <si>
    <t xml:space="preserve">Entradas</t>
  </si>
  <si>
    <t xml:space="preserve">Selecione na lista (mesmos produtos da aba Receitas).</t>
  </si>
  <si>
    <t xml:space="preserve">Pré-preenchido com a meta de Configurações — pode ser sobrescrito para simular outra meta.</t>
  </si>
  <si>
    <t xml:space="preserve">CMV Máximo Aceitável (%)</t>
  </si>
  <si>
    <t xml:space="preserve">Limite de referência para alertar se o CMV do produto está alto.</t>
  </si>
  <si>
    <t xml:space="preserve">Resultado</t>
  </si>
  <si>
    <t xml:space="preserve">Vem direto da aba Receitas.</t>
  </si>
  <si>
    <t xml:space="preserve">Custo Fixo Rateado (R$) — Loja Ativa</t>
  </si>
  <si>
    <t xml:space="preserve">Da loja selecionada em Configurações.</t>
  </si>
  <si>
    <t xml:space="preserve">Preço Ideal (R$)</t>
  </si>
  <si>
    <t xml:space="preserve">Preço que garante a margem desejada após impostos, cartão e comissão.</t>
  </si>
  <si>
    <t xml:space="preserve">CMV Atual (%)</t>
  </si>
  <si>
    <t xml:space="preserve">Comparar com o CMV Máximo Aceitável informado acima.</t>
  </si>
  <si>
    <t xml:space="preserve">Markup</t>
  </si>
  <si>
    <t xml:space="preserve">Lucro Bruto (R$)</t>
  </si>
  <si>
    <t xml:space="preserve">Preço Ideal − Custo de Insumos.</t>
  </si>
  <si>
    <t xml:space="preserve">Lucro Líquido (R$)</t>
  </si>
  <si>
    <t xml:space="preserve">Após custo fixo, impostos, cartão e comissão.</t>
  </si>
  <si>
    <t xml:space="preserve">Margem Líquida Obtida (%)</t>
  </si>
  <si>
    <t xml:space="preserve">Status do CMV</t>
  </si>
  <si>
    <t xml:space="preserve">📊  DASHBOARD — Visão Gerencial de CMV, Margem e Rentabilidade</t>
  </si>
  <si>
    <t xml:space="preserve">Indicadores da Loja Ativa (Configurações), atualizados a partir da aba Receitas.</t>
  </si>
  <si>
    <t xml:space="preserve">CMV Médio</t>
  </si>
  <si>
    <t xml:space="preserve">Margem Líquida Média</t>
  </si>
  <si>
    <t xml:space="preserve">Produto c/ Maior Margem</t>
  </si>
  <si>
    <t xml:space="preserve">Produto c/ Menor Margem</t>
  </si>
  <si>
    <t xml:space="preserve">Participação por Categoria de Insumo</t>
  </si>
  <si>
    <t xml:space="preserve">Estrutura de Custo Total (todos os produtos)</t>
  </si>
  <si>
    <t xml:space="preserve">Componente</t>
  </si>
  <si>
    <t xml:space="preserve">Total (R$)</t>
  </si>
  <si>
    <t xml:space="preserve">Insumos (c/ Perdas)</t>
  </si>
  <si>
    <t xml:space="preserve">Custo Fixo Rateado</t>
  </si>
  <si>
    <t xml:space="preserve">Margem e Lucro por Produto</t>
  </si>
  <si>
    <t xml:space="preserve">🔄  SIMULADOR — Impacto de Variação de Preços no CMV e na Margem</t>
  </si>
  <si>
    <t xml:space="preserve">Escolha um produto e teste novos preços para Açaí, Banana, Whey Protein e a embalagem principal (copo) usada nele. Recalcula o novo CMV, a nova margem e o novo preço ideal na hora.</t>
  </si>
  <si>
    <t xml:space="preserve">Produto a simular</t>
  </si>
  <si>
    <t xml:space="preserve">Insumo</t>
  </si>
  <si>
    <t xml:space="preserve">Preço Atual (R$/g,ml,un)</t>
  </si>
  <si>
    <t xml:space="preserve">Novo Preço (simulado)</t>
  </si>
  <si>
    <t xml:space="preserve">Embalagem Principal (copo)</t>
  </si>
  <si>
    <t xml:space="preserve">Aplica-se ao copo (200/300/500ml ou Milkshake) usado no produto selecionado.</t>
  </si>
  <si>
    <t xml:space="preserve">Resultado da Simulação</t>
  </si>
  <si>
    <t xml:space="preserve">Antes</t>
  </si>
  <si>
    <t xml:space="preserve">Depois (simulado)</t>
  </si>
  <si>
    <t xml:space="preserve">Variação</t>
  </si>
  <si>
    <t xml:space="preserve">Margem Líquida (%)</t>
  </si>
  <si>
    <t xml:space="preserve">Produtos</t>
  </si>
  <si>
    <t xml:space="preserve">Categorias_Insumo</t>
  </si>
  <si>
    <t xml:space="preserve">Inativo</t>
  </si>
  <si>
    <t xml:space="preserve">🥤  LINHA PREMIUM — Potes Prontos (Fábrica) — Preço x Custo por Tamanho</t>
  </si>
  <si>
    <t xml:space="preserve">Potes comprados prontos direto da fábrica. Preencha o custo de compra na aba Insumos (categoria 'Linha Premium (Comprada)').</t>
  </si>
  <si>
    <t xml:space="preserve">250ml</t>
  </si>
  <si>
    <t xml:space="preserve">Açaí Zero Açúcar</t>
  </si>
  <si>
    <t xml:space="preserve">Açaí Puro</t>
  </si>
  <si>
    <t xml:space="preserve">Açaí Banana</t>
  </si>
  <si>
    <t xml:space="preserve">Açaí Morango</t>
  </si>
  <si>
    <t xml:space="preserve">🍨  LINHA TRADICIONAL — Açaí e Cupuaçu Puros — Preço x Custo por Tamanho</t>
  </si>
  <si>
    <t xml:space="preserve">Sem coberturas, só a base. Mesma comparação P/M/G das outras linhas.</t>
  </si>
  <si>
    <t xml:space="preserve">Açaí Tradicional</t>
  </si>
  <si>
    <t xml:space="preserve">Cupuaçu Tradicional</t>
  </si>
  <si>
    <t xml:space="preserve">🍫  TOPPINGS — Acompanhamentos, Caldas Especiais e Adicionais Premium</t>
  </si>
  <si>
    <t xml:space="preserve">Fornecedor, Unidade e Preço Kg/L vêm direto da aba Insumos — preencha lá de acordo com a nota fiscal. Valor Final é o preço cobrado do cliente pela porção (30g/30ml) — ajuste na coluna azul.</t>
  </si>
  <si>
    <t xml:space="preserve">Acompanhamentos — porção vendida a R$ 3,00</t>
  </si>
  <si>
    <t xml:space="preserve">Preço Kg/L (R$)</t>
  </si>
  <si>
    <t xml:space="preserve">Porção</t>
  </si>
  <si>
    <t xml:space="preserve">Caldas Especiais — porção vendida a R$ 5,00</t>
  </si>
  <si>
    <t xml:space="preserve">Adicionais Premium — porção vendida a R$ 7,00</t>
  </si>
  <si>
    <t xml:space="preserve">🥤  MILKSHAKES — Preço x Custo</t>
  </si>
  <si>
    <t xml:space="preserve">Cada sabor é uma linha — tamanho único no cardápio atual. Preço, custo, CMV e margem vêm da aba Receitas.</t>
  </si>
  <si>
    <t xml:space="preserve">Tamanho Único</t>
  </si>
  <si>
    <t xml:space="preserve">🥤  BEBIDAS — Preço x Custo de Revenda</t>
  </si>
  <si>
    <t xml:space="preserve">Itens de revenda simples: o preço de compra vem da aba Insumos (categoria Bebidas).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</si>
</sst>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[RED]&quot;-R$ &quot;#,##0.00"/>
    <numFmt numFmtId="166" formatCode="0.0%"/>
    <numFmt numFmtId="167" formatCode="#,##0"/>
    <numFmt numFmtId="168" formatCode="#,##0.00"/>
    <numFmt numFmtId="169" formatCode="0.00\x"/>
    <numFmt numFmtId="170" formatCode="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424242"/>
      <name val="Calibri"/>
      <family val="0"/>
      <charset val="1"/>
    </font>
    <font>
      <b val="true"/>
      <sz val="11"/>
      <color rgb="FFAD1457"/>
      <name val="Calibri"/>
      <family val="0"/>
      <charset val="1"/>
    </font>
    <font>
      <b val="true"/>
      <sz val="13"/>
      <color rgb="FF1B5E2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7A33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42424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color rgb="FF616161"/>
      <name val="Calibri"/>
      <family val="0"/>
      <charset val="1"/>
    </font>
    <font>
      <b val="true"/>
      <sz val="12"/>
      <color rgb="FF1B5E20"/>
      <name val="Calibri"/>
      <family val="0"/>
      <charset val="1"/>
    </font>
    <font>
      <i val="true"/>
      <sz val="11"/>
      <color rgb="FF757575"/>
      <name val="Calibri"/>
      <family val="0"/>
      <charset val="1"/>
    </font>
    <font>
      <sz val="10"/>
      <name val="Arial"/>
      <family val="2"/>
    </font>
    <font>
      <sz val="11"/>
      <color rgb="FF007A33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4"/>
      <color rgb="FF1B5E2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007A33"/>
      </patternFill>
    </fill>
    <fill>
      <patternFill patternType="solid">
        <fgColor rgb="FF6D4C99"/>
        <bgColor rgb="FF725990"/>
      </patternFill>
    </fill>
    <fill>
      <patternFill patternType="solid">
        <fgColor rgb="FF43A047"/>
        <bgColor rgb="FF2E7D32"/>
      </patternFill>
    </fill>
    <fill>
      <patternFill patternType="solid">
        <fgColor rgb="FFFFF9C4"/>
        <bgColor rgb="FFF9F9F9"/>
      </patternFill>
    </fill>
    <fill>
      <patternFill patternType="solid">
        <fgColor rgb="FF9E9E9E"/>
        <bgColor rgb="FF93A9CE"/>
      </patternFill>
    </fill>
    <fill>
      <patternFill patternType="solid">
        <fgColor rgb="FFEEEEEE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 patternType="solid">
          <fgColor rgb="FF43A0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57575"/>
          <bgColor rgb="FF000000"/>
        </patternFill>
      </fill>
    </dxf>
    <dxf>
      <fill>
        <patternFill>
          <bgColor rgb="FFE0E0E0"/>
        </patternFill>
      </fill>
    </dxf>
    <dxf>
      <fill>
        <patternFill patternType="solid">
          <fgColor rgb="FF9E9E9E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7A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AA64F"/>
      <rgbColor rgb="FFAD1457"/>
      <rgbColor rgb="FF2E7D32"/>
      <rgbColor rgb="FFBDBDBD"/>
      <rgbColor rgb="FF878787"/>
      <rgbColor rgb="FF93A9CE"/>
      <rgbColor rgb="FFAB4744"/>
      <rgbColor rgb="FFFFF9C4"/>
      <rgbColor rgb="FFEEEEEE"/>
      <rgbColor rgb="FF660066"/>
      <rgbColor rgb="FFDC853E"/>
      <rgbColor rgb="FF0277BD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C8E6C9"/>
      <rgbColor rgb="FFE0E0E0"/>
      <rgbColor rgb="FF607D8B"/>
      <rgbColor rgb="FFFF99CC"/>
      <rgbColor rgb="FF757575"/>
      <rgbColor rgb="FFFFCDD2"/>
      <rgbColor rgb="FF4672A8"/>
      <rgbColor rgb="FF4299B0"/>
      <rgbColor rgb="FF99CC00"/>
      <rgbColor rgb="FFFFCC00"/>
      <rgbColor rgb="FFF9A825"/>
      <rgbColor rgb="FFEF6C00"/>
      <rgbColor rgb="FF725990"/>
      <rgbColor rgb="FF9E9E9E"/>
      <rgbColor rgb="FF616161"/>
      <rgbColor rgb="FF43A047"/>
      <rgbColor rgb="FF1B5E20"/>
      <rgbColor rgb="FF5D4037"/>
      <rgbColor rgb="FFC0504D"/>
      <rgbColor rgb="FF8E24AA"/>
      <rgbColor rgb="FF6D4C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Margem Real por Produto (todo o cardápio)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Dashboard!B25</c:f>
              <c:strCache>
                <c:ptCount val="1"/>
                <c:pt idx="0">
                  <c:v>Margem Real (%)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Dashboard!$A$26:$A$83</c:f>
              <c:strCache>
                <c:ptCount val="58"/>
                <c:pt idx="0">
                  <c:v>Açaí em Ondas 200ml</c:v>
                </c:pt>
                <c:pt idx="1">
                  <c:v>Açaí em Ondas 300ml</c:v>
                </c:pt>
                <c:pt idx="2">
                  <c:v>Açaí em Ondas 500ml</c:v>
                </c:pt>
                <c:pt idx="3">
                  <c:v>Fast Classic 200ml</c:v>
                </c:pt>
                <c:pt idx="4">
                  <c:v>Fast Classic 300ml</c:v>
                </c:pt>
                <c:pt idx="5">
                  <c:v>Fast Classic 500ml</c:v>
                </c:pt>
                <c:pt idx="6">
                  <c:v>Power 200ml</c:v>
                </c:pt>
                <c:pt idx="7">
                  <c:v>Power 300ml</c:v>
                </c:pt>
                <c:pt idx="8">
                  <c:v>Power 500ml</c:v>
                </c:pt>
                <c:pt idx="9">
                  <c:v>Choco Nuts 200ml</c:v>
                </c:pt>
                <c:pt idx="10">
                  <c:v>Choco Nuts 300ml</c:v>
                </c:pt>
                <c:pt idx="11">
                  <c:v>Choco Nuts 500ml</c:v>
                </c:pt>
                <c:pt idx="12">
                  <c:v>Trupe Fast 200ml</c:v>
                </c:pt>
                <c:pt idx="13">
                  <c:v>Trupe Fast 300ml</c:v>
                </c:pt>
                <c:pt idx="14">
                  <c:v>Trupe Fast 500ml</c:v>
                </c:pt>
                <c:pt idx="15">
                  <c:v>Berry 200ml</c:v>
                </c:pt>
                <c:pt idx="16">
                  <c:v>Berry 300ml</c:v>
                </c:pt>
                <c:pt idx="17">
                  <c:v>Berry 500ml</c:v>
                </c:pt>
                <c:pt idx="18">
                  <c:v>Granola Fit 200ml</c:v>
                </c:pt>
                <c:pt idx="19">
                  <c:v>Granola Fit 300ml</c:v>
                </c:pt>
                <c:pt idx="20">
                  <c:v>Granola Fit 500ml</c:v>
                </c:pt>
                <c:pt idx="21">
                  <c:v>Fast Protein 200ml</c:v>
                </c:pt>
                <c:pt idx="22">
                  <c:v>Fast Protein 300ml</c:v>
                </c:pt>
                <c:pt idx="23">
                  <c:v>Fast Protein 500ml</c:v>
                </c:pt>
                <c:pt idx="24">
                  <c:v>Berry Protein 200ml</c:v>
                </c:pt>
                <c:pt idx="25">
                  <c:v>Berry Protein 300ml</c:v>
                </c:pt>
                <c:pt idx="26">
                  <c:v>Berry Protein 500ml</c:v>
                </c:pt>
                <c:pt idx="27">
                  <c:v>Nuts Protein 200ml</c:v>
                </c:pt>
                <c:pt idx="28">
                  <c:v>Nuts Protein 300ml</c:v>
                </c:pt>
                <c:pt idx="29">
                  <c:v>Nuts Protein 500ml</c:v>
                </c:pt>
                <c:pt idx="30">
                  <c:v>Açaí Zero Açúcar 250ml</c:v>
                </c:pt>
                <c:pt idx="31">
                  <c:v>Açaí Zero Açúcar 500ml</c:v>
                </c:pt>
                <c:pt idx="32">
                  <c:v>Açaí Puro 250ml</c:v>
                </c:pt>
                <c:pt idx="33">
                  <c:v>Açaí Puro 500ml</c:v>
                </c:pt>
                <c:pt idx="34">
                  <c:v>Açaí Banana 250ml</c:v>
                </c:pt>
                <c:pt idx="35">
                  <c:v>Açaí Banana 500ml</c:v>
                </c:pt>
                <c:pt idx="36">
                  <c:v>Açaí Morango 250ml</c:v>
                </c:pt>
                <c:pt idx="37">
                  <c:v>Açaí Morango 500ml</c:v>
                </c:pt>
                <c:pt idx="38">
                  <c:v>Açaí Tradicional 200ml</c:v>
                </c:pt>
                <c:pt idx="39">
                  <c:v>Açaí Tradicional 300ml</c:v>
                </c:pt>
                <c:pt idx="40">
                  <c:v>Açaí Tradicional 500ml</c:v>
                </c:pt>
                <c:pt idx="41">
                  <c:v>Cupuaçu Tradicional 200ml</c:v>
                </c:pt>
                <c:pt idx="42">
                  <c:v>Cupuaçu Tradicional 300ml</c:v>
                </c:pt>
                <c:pt idx="43">
                  <c:v>Cupuaçu Tradicional 500ml</c:v>
                </c:pt>
                <c:pt idx="44">
                  <c:v>Milkshake Morango</c:v>
                </c:pt>
                <c:pt idx="45">
                  <c:v>Milkshake Maracujá</c:v>
                </c:pt>
                <c:pt idx="46">
                  <c:v>Milkshake Leite em Pó com Nutella</c:v>
                </c:pt>
                <c:pt idx="47">
                  <c:v>Milkshake Crocante com Ovomaltine</c:v>
                </c:pt>
                <c:pt idx="48">
                  <c:v>Power Shake</c:v>
                </c:pt>
                <c:pt idx="49">
                  <c:v>Protein Shake</c:v>
                </c:pt>
                <c:pt idx="50">
                  <c:v>Água sem Gás 500ml</c:v>
                </c:pt>
                <c:pt idx="51">
                  <c:v>Água com Gás 500ml</c:v>
                </c:pt>
                <c:pt idx="52">
                  <c:v>Água de Coco 200ml</c:v>
                </c:pt>
                <c:pt idx="53">
                  <c:v>Refrigerante Lata 350ml</c:v>
                </c:pt>
                <c:pt idx="54">
                  <c:v>Refrigerante 600ml</c:v>
                </c:pt>
                <c:pt idx="55">
                  <c:v>Isotônico 500ml</c:v>
                </c:pt>
                <c:pt idx="56">
                  <c:v>Suco Natural 300ml</c:v>
                </c:pt>
                <c:pt idx="57">
                  <c:v>Suco de Açaí 200ml</c:v>
                </c:pt>
              </c:strCache>
            </c:strRef>
          </c:cat>
          <c:val>
            <c:numRef>
              <c:f>Dashboard!$B$26:$B$83</c:f>
              <c:numCache>
                <c:formatCode>0.0%</c:formatCode>
                <c:ptCount val="58"/>
                <c:pt idx="0">
                  <c:v>0.101590604912145</c:v>
                </c:pt>
                <c:pt idx="1">
                  <c:v>0.209577940229811</c:v>
                </c:pt>
                <c:pt idx="2">
                  <c:v>0.229406433345681</c:v>
                </c:pt>
                <c:pt idx="3">
                  <c:v>0.0401924471618853</c:v>
                </c:pt>
                <c:pt idx="4">
                  <c:v>0.164266636038571</c:v>
                </c:pt>
                <c:pt idx="5">
                  <c:v>0.194703126791187</c:v>
                </c:pt>
                <c:pt idx="6">
                  <c:v>0.0607256015570539</c:v>
                </c:pt>
                <c:pt idx="7">
                  <c:v>0.179419924653347</c:v>
                </c:pt>
                <c:pt idx="8">
                  <c:v>0.206308822753673</c:v>
                </c:pt>
                <c:pt idx="9">
                  <c:v>0.0188681483288938</c:v>
                </c:pt>
                <c:pt idx="10">
                  <c:v>0.148529489738241</c:v>
                </c:pt>
                <c:pt idx="11">
                  <c:v>0.182650262233409</c:v>
                </c:pt>
                <c:pt idx="12">
                  <c:v>0.123789104271627</c:v>
                </c:pt>
                <c:pt idx="13">
                  <c:v>0.225960238883752</c:v>
                </c:pt>
                <c:pt idx="14">
                  <c:v>0.241953411244519</c:v>
                </c:pt>
                <c:pt idx="15">
                  <c:v>0.0935932889846145</c:v>
                </c:pt>
                <c:pt idx="16">
                  <c:v>0.203675990920847</c:v>
                </c:pt>
                <c:pt idx="17">
                  <c:v>0.224886211299686</c:v>
                </c:pt>
                <c:pt idx="18">
                  <c:v>0.0829241009165366</c:v>
                </c:pt>
                <c:pt idx="19">
                  <c:v>0.195802223307288</c:v>
                </c:pt>
                <c:pt idx="20">
                  <c:v>0.218855800652511</c:v>
                </c:pt>
                <c:pt idx="21">
                  <c:v>0.0989919347480501</c:v>
                </c:pt>
                <c:pt idx="22">
                  <c:v>0.207660144344518</c:v>
                </c:pt>
                <c:pt idx="23">
                  <c:v>0.227937619774671</c:v>
                </c:pt>
                <c:pt idx="24">
                  <c:v>0.0978164799338471</c:v>
                </c:pt>
                <c:pt idx="25">
                  <c:v>0.206792668957617</c:v>
                </c:pt>
                <c:pt idx="26">
                  <c:v>0.227273232270991</c:v>
                </c:pt>
                <c:pt idx="27">
                  <c:v>0.160390092498309</c:v>
                </c:pt>
                <c:pt idx="28">
                  <c:v>0.252971448535758</c:v>
                </c:pt>
                <c:pt idx="29">
                  <c:v>0.262640926329165</c:v>
                </c:pt>
                <c:pt idx="30">
                  <c:v>-0.0691788186662682</c:v>
                </c:pt>
                <c:pt idx="31">
                  <c:v>0.163425679749201</c:v>
                </c:pt>
                <c:pt idx="32">
                  <c:v>-0.19468095329006</c:v>
                </c:pt>
                <c:pt idx="33">
                  <c:v>-0.0402325939810476</c:v>
                </c:pt>
                <c:pt idx="34">
                  <c:v>-0.19468095329006</c:v>
                </c:pt>
                <c:pt idx="35">
                  <c:v>-0.0402325939810476</c:v>
                </c:pt>
                <c:pt idx="36">
                  <c:v>-0.19468095329006</c:v>
                </c:pt>
                <c:pt idx="37">
                  <c:v>-0.0402325939810476</c:v>
                </c:pt>
                <c:pt idx="38">
                  <c:v>0.164613283447542</c:v>
                </c:pt>
                <c:pt idx="39">
                  <c:v>0.256088126572528</c:v>
                </c:pt>
                <c:pt idx="40">
                  <c:v>0.265027947300471</c:v>
                </c:pt>
                <c:pt idx="41">
                  <c:v>0.164613283447542</c:v>
                </c:pt>
                <c:pt idx="42">
                  <c:v>0.256088126572528</c:v>
                </c:pt>
                <c:pt idx="43">
                  <c:v>0.265027947300471</c:v>
                </c:pt>
                <c:pt idx="44">
                  <c:v>0.220834510627466</c:v>
                </c:pt>
                <c:pt idx="45">
                  <c:v>0.220834510627466</c:v>
                </c:pt>
                <c:pt idx="46">
                  <c:v>0.22636961626575</c:v>
                </c:pt>
                <c:pt idx="47">
                  <c:v>0.195983018327606</c:v>
                </c:pt>
                <c:pt idx="48">
                  <c:v>0.265720269707383</c:v>
                </c:pt>
                <c:pt idx="49">
                  <c:v>0.3643758829706</c:v>
                </c:pt>
                <c:pt idx="50">
                  <c:v>-1.05706944444444</c:v>
                </c:pt>
                <c:pt idx="51">
                  <c:v>-0.851283950617284</c:v>
                </c:pt>
                <c:pt idx="52">
                  <c:v>-1.32165079365079</c:v>
                </c:pt>
                <c:pt idx="53">
                  <c:v>-1.67442592592593</c:v>
                </c:pt>
                <c:pt idx="54">
                  <c:v>-0.686655555555556</c:v>
                </c:pt>
                <c:pt idx="55">
                  <c:v>-0.439712962962963</c:v>
                </c:pt>
                <c:pt idx="56">
                  <c:v>-0.131034722222222</c:v>
                </c:pt>
                <c:pt idx="57">
                  <c:v>-0.439712962962963</c:v>
                </c:pt>
              </c:numCache>
            </c:numRef>
          </c:val>
        </c:ser>
        <c:gapWidth val="150"/>
        <c:overlap val="0"/>
        <c:axId val="64944995"/>
        <c:axId val="55125315"/>
      </c:barChart>
      <c:catAx>
        <c:axId val="649449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125315"/>
        <c:crosses val="autoZero"/>
        <c:auto val="1"/>
        <c:lblAlgn val="ctr"/>
        <c:lblOffset val="100"/>
        <c:noMultiLvlLbl val="0"/>
      </c:catAx>
      <c:valAx>
        <c:axId val="55125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Margem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9449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Participação por Categoria de Insumo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Dashboard!B10</c:f>
              <c:strCache>
                <c:ptCount val="1"/>
                <c:pt idx="0">
                  <c:v>Custo Total (R$)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Lbls>
            <c:dLbl>
              <c:idx val="0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&quot;R$ &quot;#,##0.00;[RED]&quot;-R$ &quot;#,##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Dashboard!$A$11:$A$17</c:f>
              <c:strCache>
                <c:ptCount val="7"/>
                <c:pt idx="0">
                  <c:v>Bases (Produção Própria)</c:v>
                </c:pt>
                <c:pt idx="1">
                  <c:v>Coberturas (30g)</c:v>
                </c:pt>
                <c:pt idx="2">
                  <c:v>Linha Premium (Comprada)</c:v>
                </c:pt>
                <c:pt idx="3">
                  <c:v>Embalagens</c:v>
                </c:pt>
                <c:pt idx="4">
                  <c:v>Consumíveis</c:v>
                </c:pt>
                <c:pt idx="5">
                  <c:v>Bebidas</c:v>
                </c:pt>
                <c:pt idx="6">
                  <c:v>Limpeza</c:v>
                </c:pt>
              </c:strCache>
            </c:strRef>
          </c:cat>
          <c:val>
            <c:numRef>
              <c:f>Dashboard!$B$11:$B$17</c:f>
              <c:numCache>
                <c:formatCode>"R$ "#,##0.00;[RED]"-R$ "#,##0.00</c:formatCode>
                <c:ptCount val="7"/>
                <c:pt idx="0">
                  <c:v>195.03</c:v>
                </c:pt>
                <c:pt idx="1">
                  <c:v>43.7884384615385</c:v>
                </c:pt>
                <c:pt idx="2">
                  <c:v>103</c:v>
                </c:pt>
                <c:pt idx="3">
                  <c:v>9.85284</c:v>
                </c:pt>
                <c:pt idx="4">
                  <c:v>4.1272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Estrutura de Custo Total (Insumos x Custo Fixo)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Dashboard!B20</c:f>
              <c:strCache>
                <c:ptCount val="1"/>
                <c:pt idx="0">
                  <c:v>Total (R$)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&quot;R$ &quot;#,##0.00;[RED]&quot;-R$ &quot;#,##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&quot;R$ &quot;#,##0.00;[RED]&quot;-R$ &quot;#,##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Dashboard!$A$21:$A$22</c:f>
              <c:strCache>
                <c:ptCount val="2"/>
                <c:pt idx="0">
                  <c:v>Insumos (c/ Perdas)</c:v>
                </c:pt>
                <c:pt idx="1">
                  <c:v>Custo Fixo Rateado</c:v>
                </c:pt>
              </c:strCache>
            </c:strRef>
          </c:cat>
          <c:val>
            <c:numRef>
              <c:f>Dashboard!$B$21:$B$22</c:f>
              <c:numCache>
                <c:formatCode>"R$ "#,##0.00;[RED]"-R$ "#,##0.00</c:formatCode>
                <c:ptCount val="2"/>
                <c:pt idx="0">
                  <c:v>366.802555114988</c:v>
                </c:pt>
                <c:pt idx="1">
                  <c:v>429.680111111111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18</xdr:col>
      <xdr:colOff>65160</xdr:colOff>
      <xdr:row>20</xdr:row>
      <xdr:rowOff>38880</xdr:rowOff>
    </xdr:to>
    <xdr:graphicFrame>
      <xdr:nvGraphicFramePr>
        <xdr:cNvPr id="1" name="Chart 1"/>
        <xdr:cNvGraphicFramePr/>
      </xdr:nvGraphicFramePr>
      <xdr:xfrm>
        <a:off x="7542000" y="895320"/>
        <a:ext cx="7919280" cy="35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13</xdr:col>
      <xdr:colOff>242640</xdr:colOff>
      <xdr:row>39</xdr:row>
      <xdr:rowOff>170280</xdr:rowOff>
    </xdr:to>
    <xdr:graphicFrame>
      <xdr:nvGraphicFramePr>
        <xdr:cNvPr id="2" name="Chart 2"/>
        <xdr:cNvGraphicFramePr/>
      </xdr:nvGraphicFramePr>
      <xdr:xfrm>
        <a:off x="7542000" y="46386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21</xdr:row>
      <xdr:rowOff>0</xdr:rowOff>
    </xdr:from>
    <xdr:to>
      <xdr:col>22</xdr:col>
      <xdr:colOff>147240</xdr:colOff>
      <xdr:row>39</xdr:row>
      <xdr:rowOff>170280</xdr:rowOff>
    </xdr:to>
    <xdr:graphicFrame>
      <xdr:nvGraphicFramePr>
        <xdr:cNvPr id="3" name="Chart 3"/>
        <xdr:cNvGraphicFramePr/>
      </xdr:nvGraphicFramePr>
      <xdr:xfrm>
        <a:off x="12950280" y="46386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_Embalagens" displayName="Tabela_Embalagens" ref="A4:E25" headerRowCount="1" totalsRowCount="0" totalsRowShown="0">
  <autoFilter ref="A4:E25"/>
  <tableColumns count="5">
    <tableColumn id="1" name="Nome"/>
    <tableColumn id="2" name="Fornecedor"/>
    <tableColumn id="3" name="Quantidade (un/caixa)"/>
    <tableColumn id="4" name="Valor da Caixa (R$)"/>
    <tableColumn id="5" name="Custo Unitário (R$)"/>
  </tableColumns>
</table>
</file>

<file path=xl/tables/table2.xml><?xml version="1.0" encoding="utf-8"?>
<table xmlns="http://schemas.openxmlformats.org/spreadsheetml/2006/main" id="2" name="Tabela_FichaTecnica" displayName="Tabela_FichaTecnica" ref="A4:L480" headerRowCount="1" totalsRowCount="0" totalsRowShown="0">
  <autoFilter ref="A4:L480"/>
  <tableColumns count="12">
    <tableColumn id="1" name="Nome do Produto"/>
    <tableColumn id="2" name="Categoria (auto)"/>
    <tableColumn id="3" name="Ingrediente"/>
    <tableColumn id="4" name="Quantidade Utilizada"/>
    <tableColumn id="5" name="Unidade (auto)"/>
    <tableColumn id="6" name="Custo Unitário (R$)"/>
    <tableColumn id="7" name="Custo Total (R$)"/>
    <tableColumn id="8" name="Qtd g/ml (aux.)"/>
    <tableColumn id="9" name="Flag Açaí"/>
    <tableColumn id="10" name="Flag Banana"/>
    <tableColumn id="11" name="Flag Whey"/>
    <tableColumn id="12" name="Flag Embalagem"/>
  </tableColumns>
</table>
</file>

<file path=xl/tables/table3.xml><?xml version="1.0" encoding="utf-8"?>
<table xmlns="http://schemas.openxmlformats.org/spreadsheetml/2006/main" id="3" name="Tabela_Insumos" displayName="Tabela_Insumos" ref="A4:L85" headerRowCount="1" totalsRowCount="0" totalsRowShown="0">
  <autoFilter ref="A4:L85"/>
  <tableColumns count="12">
    <tableColumn id="1" name="Ingrediente"/>
    <tableColumn id="2" name="Categoria"/>
    <tableColumn id="3" name="Fornecedor"/>
    <tableColumn id="4" name="Unidade"/>
    <tableColumn id="5" name="Porção Padrão"/>
    <tableColumn id="6" name="Quantidade Comprada"/>
    <tableColumn id="7" name="Valor Pago (R$)"/>
    <tableColumn id="8" name="Frete (R$)"/>
    <tableColumn id="9" name="Valor Final (R$)"/>
    <tableColumn id="10" name="Custo por g/ml/un (R$)"/>
    <tableColumn id="11" name="Status"/>
    <tableColumn id="12" name="Custo da Porção 30g (R$)"/>
  </tableColumns>
</table>
</file>

<file path=xl/tables/table4.xml><?xml version="1.0" encoding="utf-8"?>
<table xmlns="http://schemas.openxmlformats.org/spreadsheetml/2006/main" id="4" name="Tabela_Rateio" displayName="Tabela_Rateio" ref="A4:G20" headerRowCount="1" totalsRowCount="0" totalsRowShown="0">
  <autoFilter ref="A4:G20"/>
  <tableColumns count="7">
    <tableColumn id="1" name="Item de Custo Fixo (R$/mês)"/>
    <tableColumn id="2" name="Loja 1"/>
    <tableColumn id="3" name="Loja 2"/>
    <tableColumn id="4" name="Loja 3"/>
    <tableColumn id="5" name="Loja 4"/>
    <tableColumn id="6" name="Loja 5"/>
    <tableColumn id="7" name="Loja 6"/>
  </tableColumns>
</table>
</file>

<file path=xl/tables/table5.xml><?xml version="1.0" encoding="utf-8"?>
<table xmlns="http://schemas.openxmlformats.org/spreadsheetml/2006/main" id="5" name="Tabela_Receitas" displayName="Tabela_Receitas" ref="A4:N90" headerRowCount="1" totalsRowCount="0" totalsRowShown="0">
  <autoFilter ref="A4:N90"/>
  <tableColumns count="14">
    <tableColumn id="1" name="Produto"/>
    <tableColumn id="2" name="Grupo (Cardápio)"/>
    <tableColumn id="3" name="Preço Praticado (R$)"/>
    <tableColumn id="4" name="Peso Total (g/ml)"/>
    <tableColumn id="5" name="Custo Insumos (R$)"/>
    <tableColumn id="6" name="Custo Insumos c/ Perdas (R$)"/>
    <tableColumn id="7" name="Custo Fixo Rateado (R$)"/>
    <tableColumn id="8" name="Custo Total Unitário (R$)"/>
    <tableColumn id="9" name="Preço Sugerido (R$)"/>
    <tableColumn id="10" name="CMV Real (%)"/>
    <tableColumn id="11" name="Margem Real (%)"/>
    <tableColumn id="12" name="Lucro Líquido Real (R$)"/>
    <tableColumn id="13" name="Praticado − Sugerido (R$)"/>
    <tableColumn id="14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99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70"/>
  </cols>
  <sheetData>
    <row r="1" customFormat="false" ht="39.75" hidden="false" customHeight="true" outlineLevel="0" collapsed="false">
      <c r="A1" s="2" t="s">
        <v>0</v>
      </c>
      <c r="B1" s="2"/>
      <c r="C1" s="2"/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30" hidden="false" customHeight="true" outlineLevel="0" collapsed="false">
      <c r="B3" s="4" t="s">
        <v>2</v>
      </c>
      <c r="C3" s="4"/>
    </row>
    <row r="5" customFormat="false" ht="15.75" hidden="false" customHeight="true" outlineLevel="0" collapsed="false">
      <c r="B5" s="5" t="s">
        <v>3</v>
      </c>
    </row>
    <row r="6" customFormat="false" ht="23.25" hidden="false" customHeight="true" outlineLevel="0" collapsed="false">
      <c r="B6" s="6" t="s">
        <v>4</v>
      </c>
      <c r="C6" s="7" t="s">
        <v>5</v>
      </c>
    </row>
    <row r="7" customFormat="false" ht="15" hidden="false" customHeight="true" outlineLevel="0" collapsed="false">
      <c r="B7" s="6" t="s">
        <v>6</v>
      </c>
      <c r="C7" s="7" t="s">
        <v>7</v>
      </c>
    </row>
    <row r="8" customFormat="false" ht="34.5" hidden="false" customHeight="true" outlineLevel="0" collapsed="false">
      <c r="B8" s="6" t="s">
        <v>8</v>
      </c>
      <c r="C8" s="7" t="s">
        <v>9</v>
      </c>
    </row>
    <row r="9" customFormat="false" ht="23.25" hidden="false" customHeight="true" outlineLevel="0" collapsed="false">
      <c r="B9" s="6" t="s">
        <v>10</v>
      </c>
      <c r="C9" s="7" t="s">
        <v>11</v>
      </c>
    </row>
    <row r="10" customFormat="false" ht="23.25" hidden="false" customHeight="true" outlineLevel="0" collapsed="false">
      <c r="B10" s="6" t="s">
        <v>12</v>
      </c>
      <c r="C10" s="7" t="s">
        <v>13</v>
      </c>
    </row>
    <row r="11" customFormat="false" ht="23.25" hidden="false" customHeight="true" outlineLevel="0" collapsed="false">
      <c r="B11" s="6" t="s">
        <v>14</v>
      </c>
      <c r="C11" s="7" t="s">
        <v>15</v>
      </c>
    </row>
    <row r="12" customFormat="false" ht="34.5" hidden="false" customHeight="true" outlineLevel="0" collapsed="false">
      <c r="B12" s="6" t="s">
        <v>16</v>
      </c>
      <c r="C12" s="7" t="s">
        <v>17</v>
      </c>
    </row>
    <row r="13" customFormat="false" ht="15" hidden="false" customHeight="true" outlineLevel="0" collapsed="false">
      <c r="B13" s="6" t="s">
        <v>18</v>
      </c>
      <c r="C13" s="7" t="s">
        <v>19</v>
      </c>
    </row>
    <row r="15" customFormat="false" ht="15.75" hidden="false" customHeight="true" outlineLevel="0" collapsed="false">
      <c r="B15" s="5" t="s">
        <v>20</v>
      </c>
    </row>
    <row r="16" customFormat="false" ht="49.5" hidden="false" customHeight="true" outlineLevel="0" collapsed="false">
      <c r="B16" s="8" t="s">
        <v>21</v>
      </c>
      <c r="C16" s="8"/>
    </row>
    <row r="18" customFormat="false" ht="15.75" hidden="false" customHeight="true" outlineLevel="0" collapsed="false">
      <c r="B18" s="5" t="s">
        <v>22</v>
      </c>
    </row>
    <row r="19" customFormat="false" ht="15" hidden="false" customHeight="true" outlineLevel="0" collapsed="false">
      <c r="B19" s="9" t="s">
        <v>23</v>
      </c>
      <c r="C19" s="10" t="s">
        <v>24</v>
      </c>
    </row>
    <row r="20" customFormat="false" ht="15" hidden="false" customHeight="true" outlineLevel="0" collapsed="false">
      <c r="B20" s="11" t="s">
        <v>25</v>
      </c>
      <c r="C20" s="10" t="s">
        <v>26</v>
      </c>
    </row>
    <row r="21" customFormat="false" ht="15" hidden="false" customHeight="true" outlineLevel="0" collapsed="false">
      <c r="B21" s="12" t="s">
        <v>27</v>
      </c>
      <c r="C21" s="10" t="s">
        <v>28</v>
      </c>
    </row>
    <row r="22" customFormat="false" ht="15" hidden="false" customHeight="true" outlineLevel="0" collapsed="false">
      <c r="B22" s="6" t="s">
        <v>29</v>
      </c>
      <c r="C22" s="10" t="s">
        <v>30</v>
      </c>
    </row>
  </sheetData>
  <mergeCells count="4">
    <mergeCell ref="A1:C1"/>
    <mergeCell ref="A2:C2"/>
    <mergeCell ref="B3:C3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99"/>
    <pageSetUpPr fitToPage="false"/>
  </sheetPr>
  <dimension ref="A1:M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3"/>
  </cols>
  <sheetData>
    <row r="1" customFormat="false" ht="25.5" hidden="false" customHeight="true" outlineLevel="0" collapsed="false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30" hidden="false" customHeight="true" outlineLevel="0" collapsed="false">
      <c r="A2" s="14" t="s">
        <v>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customFormat="false" ht="21.75" hidden="false" customHeight="true" outlineLevel="0" collapsed="false">
      <c r="A4" s="15" t="s">
        <v>33</v>
      </c>
      <c r="B4" s="16" t="s">
        <v>34</v>
      </c>
      <c r="C4" s="16"/>
      <c r="D4" s="16"/>
      <c r="E4" s="16"/>
      <c r="F4" s="16" t="s">
        <v>35</v>
      </c>
      <c r="G4" s="16"/>
      <c r="H4" s="16"/>
      <c r="I4" s="16"/>
      <c r="J4" s="16" t="s">
        <v>36</v>
      </c>
      <c r="K4" s="16"/>
      <c r="L4" s="16"/>
      <c r="M4" s="16"/>
    </row>
    <row r="5" customFormat="false" ht="27.75" hidden="false" customHeight="true" outlineLevel="0" collapsed="false">
      <c r="A5" s="15"/>
      <c r="B5" s="17" t="s">
        <v>37</v>
      </c>
      <c r="C5" s="17" t="s">
        <v>38</v>
      </c>
      <c r="D5" s="17" t="s">
        <v>39</v>
      </c>
      <c r="E5" s="17" t="s">
        <v>40</v>
      </c>
      <c r="F5" s="17" t="s">
        <v>37</v>
      </c>
      <c r="G5" s="17" t="s">
        <v>38</v>
      </c>
      <c r="H5" s="17" t="s">
        <v>39</v>
      </c>
      <c r="I5" s="17" t="s">
        <v>40</v>
      </c>
      <c r="J5" s="17" t="s">
        <v>37</v>
      </c>
      <c r="K5" s="17" t="s">
        <v>38</v>
      </c>
      <c r="L5" s="17" t="s">
        <v>39</v>
      </c>
      <c r="M5" s="17" t="s">
        <v>40</v>
      </c>
    </row>
    <row r="6" customFormat="false" ht="15" hidden="false" customHeight="true" outlineLevel="0" collapsed="false">
      <c r="A6" s="18" t="s">
        <v>41</v>
      </c>
      <c r="B6" s="19" t="n">
        <f aca="false">IFERROR(INDEX(Receitas_PrecoPraticado,MATCH("Açaí em Ondas 200ml",Receitas_Produto,0)),"")</f>
        <v>16.9</v>
      </c>
      <c r="C6" s="19" t="n">
        <f aca="false">IFERROR(INDEX(Receitas_CustoTotalUnit,MATCH("Açaí em Ondas 200ml",Receitas_Produto,0)),"")</f>
        <v>11.7186187769848</v>
      </c>
      <c r="D6" s="20" t="n">
        <f aca="false">IFERROR(INDEX(Receitas_CMV,MATCH("Açaí em Ondas 200ml",Receitas_Produto,0)),"")</f>
        <v>0.255049763266685</v>
      </c>
      <c r="E6" s="20" t="n">
        <f aca="false">IFERROR(INDEX(Receitas_Margem,MATCH("Açaí em Ondas 200ml",Receitas_Produto,0)),"")</f>
        <v>0.101590604912145</v>
      </c>
      <c r="F6" s="19" t="n">
        <f aca="false">IFERROR(INDEX(Receitas_PrecoPraticado,MATCH("Açaí em Ondas 300ml",Receitas_Produto,0)),"")</f>
        <v>22.9</v>
      </c>
      <c r="G6" s="19" t="n">
        <f aca="false">IFERROR(INDEX(Receitas_CustoTotalUnit,MATCH("Açaí em Ondas 300ml",Receitas_Produto,0)),"")</f>
        <v>13.4061651687373</v>
      </c>
      <c r="H6" s="20" t="n">
        <f aca="false">IFERROR(INDEX(Receitas_CMV,MATCH("Açaí em Ondas 300ml",Receitas_Produto,0)),"")</f>
        <v>0.261916479954566</v>
      </c>
      <c r="I6" s="20" t="n">
        <f aca="false">IFERROR(INDEX(Receitas_Margem,MATCH("Açaí em Ondas 300ml",Receitas_Produto,0)),"")</f>
        <v>0.209577940229811</v>
      </c>
      <c r="J6" s="19" t="n">
        <f aca="false">IFERROR(INDEX(Receitas_PrecoPraticado,MATCH("Açaí em Ondas 500ml",Receitas_Produto,0)),"")</f>
        <v>29.9</v>
      </c>
      <c r="K6" s="19" t="n">
        <f aca="false">IFERROR(INDEX(Receitas_CustoTotalUnit,MATCH("Açaí em Ondas 500ml",Receitas_Produto,0)),"")</f>
        <v>16.9112476429641</v>
      </c>
      <c r="L6" s="20" t="n">
        <f aca="false">IFERROR(INDEX(Receitas_CMV,MATCH("Açaí em Ondas 500ml",Receitas_Produto,0)),"")</f>
        <v>0.317825079103223</v>
      </c>
      <c r="M6" s="20" t="n">
        <f aca="false">IFERROR(INDEX(Receitas_Margem,MATCH("Açaí em Ondas 500ml",Receitas_Produto,0)),"")</f>
        <v>0.229406433345681</v>
      </c>
    </row>
    <row r="7" customFormat="false" ht="15" hidden="false" customHeight="true" outlineLevel="0" collapsed="false">
      <c r="A7" s="18" t="s">
        <v>42</v>
      </c>
      <c r="B7" s="19" t="n">
        <f aca="false">IFERROR(INDEX(Receitas_PrecoPraticado,MATCH("Fast Classic 200ml",Receitas_Produto,0)),"")</f>
        <v>16.9</v>
      </c>
      <c r="C7" s="19" t="n">
        <f aca="false">IFERROR(INDEX(Receitas_CustoTotalUnit,MATCH("Fast Classic 200ml",Receitas_Produto,0)),"")</f>
        <v>12.7562476429641</v>
      </c>
      <c r="D7" s="20" t="n">
        <f aca="false">IFERROR(INDEX(Receitas_CMV,MATCH("Fast Classic 200ml",Receitas_Produto,0)),"")</f>
        <v>0.316447921016944</v>
      </c>
      <c r="E7" s="20" t="n">
        <f aca="false">IFERROR(INDEX(Receitas_Margem,MATCH("Fast Classic 200ml",Receitas_Produto,0)),"")</f>
        <v>0.0401924471618853</v>
      </c>
      <c r="F7" s="19" t="n">
        <f aca="false">IFERROR(INDEX(Receitas_PrecoPraticado,MATCH("Fast Classic 300ml",Receitas_Produto,0)),"")</f>
        <v>22.9</v>
      </c>
      <c r="G7" s="19" t="n">
        <f aca="false">IFERROR(INDEX(Receitas_CustoTotalUnit,MATCH("Fast Classic 300ml",Receitas_Produto,0)),"")</f>
        <v>14.4437940347167</v>
      </c>
      <c r="H7" s="20" t="n">
        <f aca="false">IFERROR(INDEX(Receitas_CMV,MATCH("Fast Classic 300ml",Receitas_Produto,0)),"")</f>
        <v>0.307227784145805</v>
      </c>
      <c r="I7" s="20" t="n">
        <f aca="false">IFERROR(INDEX(Receitas_Margem,MATCH("Fast Classic 300ml",Receitas_Produto,0)),"")</f>
        <v>0.164266636038571</v>
      </c>
      <c r="J7" s="19" t="n">
        <f aca="false">IFERROR(INDEX(Receitas_PrecoPraticado,MATCH("Fast Classic 500ml",Receitas_Produto,0)),"")</f>
        <v>29.9</v>
      </c>
      <c r="K7" s="19" t="n">
        <f aca="false">IFERROR(INDEX(Receitas_CustoTotalUnit,MATCH("Fast Classic 500ml",Receitas_Produto,0)),"")</f>
        <v>17.9488765089435</v>
      </c>
      <c r="L7" s="20" t="n">
        <f aca="false">IFERROR(INDEX(Receitas_CMV,MATCH("Fast Classic 500ml",Receitas_Produto,0)),"")</f>
        <v>0.352528385657717</v>
      </c>
      <c r="M7" s="20" t="n">
        <f aca="false">IFERROR(INDEX(Receitas_Margem,MATCH("Fast Classic 500ml",Receitas_Produto,0)),"")</f>
        <v>0.194703126791187</v>
      </c>
    </row>
    <row r="8" customFormat="false" ht="15" hidden="false" customHeight="true" outlineLevel="0" collapsed="false">
      <c r="A8" s="18" t="s">
        <v>43</v>
      </c>
      <c r="B8" s="19" t="n">
        <f aca="false">IFERROR(INDEX(Receitas_PrecoPraticado,MATCH("Power 200ml",Receitas_Produto,0)),"")</f>
        <v>16.9</v>
      </c>
      <c r="C8" s="19" t="n">
        <f aca="false">IFERROR(INDEX(Receitas_CustoTotalUnit,MATCH("Power 200ml",Receitas_Produto,0)),"")</f>
        <v>12.4092373336858</v>
      </c>
      <c r="D8" s="20" t="n">
        <f aca="false">IFERROR(INDEX(Receitas_CMV,MATCH("Power 200ml",Receitas_Produto,0)),"")</f>
        <v>0.295914766621776</v>
      </c>
      <c r="E8" s="20" t="n">
        <f aca="false">IFERROR(INDEX(Receitas_Margem,MATCH("Power 200ml",Receitas_Produto,0)),"")</f>
        <v>0.0607256015570539</v>
      </c>
      <c r="F8" s="19" t="n">
        <f aca="false">IFERROR(INDEX(Receitas_PrecoPraticado,MATCH("Power 300ml",Receitas_Produto,0)),"")</f>
        <v>22.9</v>
      </c>
      <c r="G8" s="19" t="n">
        <f aca="false">IFERROR(INDEX(Receitas_CustoTotalUnit,MATCH("Power 300ml",Receitas_Produto,0)),"")</f>
        <v>14.0967837254384</v>
      </c>
      <c r="H8" s="20" t="n">
        <f aca="false">IFERROR(INDEX(Receitas_CMV,MATCH("Power 300ml",Receitas_Produto,0)),"")</f>
        <v>0.29207449553103</v>
      </c>
      <c r="I8" s="20" t="n">
        <f aca="false">IFERROR(INDEX(Receitas_Margem,MATCH("Power 300ml",Receitas_Produto,0)),"")</f>
        <v>0.179419924653347</v>
      </c>
      <c r="J8" s="19" t="n">
        <f aca="false">IFERROR(INDEX(Receitas_PrecoPraticado,MATCH("Power 500ml",Receitas_Produto,0)),"")</f>
        <v>29.9</v>
      </c>
      <c r="K8" s="19" t="n">
        <f aca="false">IFERROR(INDEX(Receitas_CustoTotalUnit,MATCH("Power 500ml",Receitas_Produto,0)),"")</f>
        <v>17.6018661996652</v>
      </c>
      <c r="L8" s="20" t="n">
        <f aca="false">IFERROR(INDEX(Receitas_CMV,MATCH("Power 500ml",Receitas_Produto,0)),"")</f>
        <v>0.340922689695231</v>
      </c>
      <c r="M8" s="20" t="n">
        <f aca="false">IFERROR(INDEX(Receitas_Margem,MATCH("Power 500ml",Receitas_Produto,0)),"")</f>
        <v>0.206308822753673</v>
      </c>
    </row>
    <row r="9" customFormat="false" ht="15" hidden="false" customHeight="true" outlineLevel="0" collapsed="false">
      <c r="A9" s="18" t="s">
        <v>44</v>
      </c>
      <c r="B9" s="19" t="n">
        <f aca="false">IFERROR(INDEX(Receitas_PrecoPraticado,MATCH("Choco Nuts 200ml",Receitas_Produto,0)),"")</f>
        <v>16.9</v>
      </c>
      <c r="C9" s="19" t="n">
        <f aca="false">IFERROR(INDEX(Receitas_CustoTotalUnit,MATCH("Choco Nuts 200ml",Receitas_Produto,0)),"")</f>
        <v>13.1166282932417</v>
      </c>
      <c r="D9" s="20" t="n">
        <f aca="false">IFERROR(INDEX(Receitas_CMV,MATCH("Choco Nuts 200ml",Receitas_Produto,0)),"")</f>
        <v>0.337772219849936</v>
      </c>
      <c r="E9" s="20" t="n">
        <f aca="false">IFERROR(INDEX(Receitas_Margem,MATCH("Choco Nuts 200ml",Receitas_Produto,0)),"")</f>
        <v>0.0188681483288938</v>
      </c>
      <c r="F9" s="19" t="n">
        <f aca="false">IFERROR(INDEX(Receitas_PrecoPraticado,MATCH("Choco Nuts 300ml",Receitas_Produto,0)),"")</f>
        <v>22.9</v>
      </c>
      <c r="G9" s="19" t="n">
        <f aca="false">IFERROR(INDEX(Receitas_CustoTotalUnit,MATCH("Choco Nuts 300ml",Receitas_Produto,0)),"")</f>
        <v>14.8041746849943</v>
      </c>
      <c r="H9" s="20" t="n">
        <f aca="false">IFERROR(INDEX(Receitas_CMV,MATCH("Choco Nuts 300ml",Receitas_Produto,0)),"")</f>
        <v>0.322964930446135</v>
      </c>
      <c r="I9" s="20" t="n">
        <f aca="false">IFERROR(INDEX(Receitas_Margem,MATCH("Choco Nuts 300ml",Receitas_Produto,0)),"")</f>
        <v>0.148529489738241</v>
      </c>
      <c r="J9" s="19" t="n">
        <f aca="false">IFERROR(INDEX(Receitas_PrecoPraticado,MATCH("Choco Nuts 500ml",Receitas_Produto,0)),"")</f>
        <v>29.9</v>
      </c>
      <c r="K9" s="19" t="n">
        <f aca="false">IFERROR(INDEX(Receitas_CustoTotalUnit,MATCH("Choco Nuts 500ml",Receitas_Produto,0)),"")</f>
        <v>18.3092571592211</v>
      </c>
      <c r="L9" s="20" t="n">
        <f aca="false">IFERROR(INDEX(Receitas_CMV,MATCH("Choco Nuts 500ml",Receitas_Produto,0)),"")</f>
        <v>0.364581250215495</v>
      </c>
      <c r="M9" s="20" t="n">
        <f aca="false">IFERROR(INDEX(Receitas_Margem,MATCH("Choco Nuts 500ml",Receitas_Produto,0)),"")</f>
        <v>0.182650262233409</v>
      </c>
    </row>
    <row r="10" customFormat="false" ht="15" hidden="false" customHeight="true" outlineLevel="0" collapsed="false">
      <c r="A10" s="18" t="s">
        <v>45</v>
      </c>
      <c r="B10" s="19" t="n">
        <f aca="false">IFERROR(INDEX(Receitas_PrecoPraticado,MATCH("Trupe Fast 200ml",Receitas_Produto,0)),"")</f>
        <v>16.9</v>
      </c>
      <c r="C10" s="19" t="n">
        <f aca="false">IFERROR(INDEX(Receitas_CustoTotalUnit,MATCH("Trupe Fast 200ml",Receitas_Produto,0)),"")</f>
        <v>11.3434641378095</v>
      </c>
      <c r="D10" s="20" t="n">
        <f aca="false">IFERROR(INDEX(Receitas_CMV,MATCH("Trupe Fast 200ml",Receitas_Produto,0)),"")</f>
        <v>0.232851263907202</v>
      </c>
      <c r="E10" s="20" t="n">
        <f aca="false">IFERROR(INDEX(Receitas_Margem,MATCH("Trupe Fast 200ml",Receitas_Produto,0)),"")</f>
        <v>0.123789104271627</v>
      </c>
      <c r="F10" s="19" t="n">
        <f aca="false">IFERROR(INDEX(Receitas_PrecoPraticado,MATCH("Trupe Fast 300ml",Receitas_Produto,0)),"")</f>
        <v>22.9</v>
      </c>
      <c r="G10" s="19" t="n">
        <f aca="false">IFERROR(INDEX(Receitas_CustoTotalUnit,MATCH("Trupe Fast 300ml",Receitas_Produto,0)),"")</f>
        <v>13.0310105295621</v>
      </c>
      <c r="H10" s="20" t="n">
        <f aca="false">IFERROR(INDEX(Receitas_CMV,MATCH("Trupe Fast 300ml",Receitas_Produto,0)),"")</f>
        <v>0.245534181300624</v>
      </c>
      <c r="I10" s="20" t="n">
        <f aca="false">IFERROR(INDEX(Receitas_Margem,MATCH("Trupe Fast 300ml",Receitas_Produto,0)),"")</f>
        <v>0.225960238883752</v>
      </c>
      <c r="J10" s="19" t="n">
        <f aca="false">IFERROR(INDEX(Receitas_PrecoPraticado,MATCH("Trupe Fast 500ml",Receitas_Produto,0)),"")</f>
        <v>29.9</v>
      </c>
      <c r="K10" s="19" t="n">
        <f aca="false">IFERROR(INDEX(Receitas_CustoTotalUnit,MATCH("Trupe Fast 500ml",Receitas_Produto,0)),"")</f>
        <v>16.5360930037889</v>
      </c>
      <c r="L10" s="20" t="n">
        <f aca="false">IFERROR(INDEX(Receitas_CMV,MATCH("Trupe Fast 500ml",Receitas_Produto,0)),"")</f>
        <v>0.305278101204385</v>
      </c>
      <c r="M10" s="20" t="n">
        <f aca="false">IFERROR(INDEX(Receitas_Margem,MATCH("Trupe Fast 500ml",Receitas_Produto,0)),"")</f>
        <v>0.241953411244519</v>
      </c>
    </row>
    <row r="11" customFormat="false" ht="15" hidden="false" customHeight="true" outlineLevel="0" collapsed="false">
      <c r="A11" s="18" t="s">
        <v>46</v>
      </c>
      <c r="B11" s="19" t="n">
        <f aca="false">IFERROR(INDEX(Receitas_PrecoPraticado,MATCH("Berry 200ml",Receitas_Produto,0)),"")</f>
        <v>16.9</v>
      </c>
      <c r="C11" s="19" t="n">
        <f aca="false">IFERROR(INDEX(Receitas_CustoTotalUnit,MATCH("Berry 200ml",Receitas_Produto,0)),"")</f>
        <v>11.85377341616</v>
      </c>
      <c r="D11" s="20" t="n">
        <f aca="false">IFERROR(INDEX(Receitas_CMV,MATCH("Berry 200ml",Receitas_Produto,0)),"")</f>
        <v>0.263047079194215</v>
      </c>
      <c r="E11" s="20" t="n">
        <f aca="false">IFERROR(INDEX(Receitas_Margem,MATCH("Berry 200ml",Receitas_Produto,0)),"")</f>
        <v>0.0935932889846145</v>
      </c>
      <c r="F11" s="19" t="n">
        <f aca="false">IFERROR(INDEX(Receitas_PrecoPraticado,MATCH("Berry 300ml",Receitas_Produto,0)),"")</f>
        <v>22.9</v>
      </c>
      <c r="G11" s="19" t="n">
        <f aca="false">IFERROR(INDEX(Receitas_CustoTotalUnit,MATCH("Berry 300ml",Receitas_Produto,0)),"")</f>
        <v>13.5413198079126</v>
      </c>
      <c r="H11" s="20" t="n">
        <f aca="false">IFERROR(INDEX(Receitas_CMV,MATCH("Berry 300ml",Receitas_Produto,0)),"")</f>
        <v>0.267818429263529</v>
      </c>
      <c r="I11" s="20" t="n">
        <f aca="false">IFERROR(INDEX(Receitas_Margem,MATCH("Berry 300ml",Receitas_Produto,0)),"")</f>
        <v>0.203675990920847</v>
      </c>
      <c r="J11" s="19" t="n">
        <f aca="false">IFERROR(INDEX(Receitas_PrecoPraticado,MATCH("Berry 500ml",Receitas_Produto,0)),"")</f>
        <v>29.9</v>
      </c>
      <c r="K11" s="19" t="n">
        <f aca="false">IFERROR(INDEX(Receitas_CustoTotalUnit,MATCH("Berry 500ml",Receitas_Produto,0)),"")</f>
        <v>17.0464022821394</v>
      </c>
      <c r="L11" s="20" t="n">
        <f aca="false">IFERROR(INDEX(Receitas_CMV,MATCH("Berry 500ml",Receitas_Produto,0)),"")</f>
        <v>0.322345301149218</v>
      </c>
      <c r="M11" s="20" t="n">
        <f aca="false">IFERROR(INDEX(Receitas_Margem,MATCH("Berry 500ml",Receitas_Produto,0)),"")</f>
        <v>0.224886211299686</v>
      </c>
    </row>
    <row r="12" customFormat="false" ht="15" hidden="false" customHeight="true" outlineLevel="0" collapsed="false">
      <c r="A12" s="18" t="s">
        <v>47</v>
      </c>
      <c r="B12" s="19" t="n">
        <f aca="false">IFERROR(INDEX(Receitas_PrecoPraticado,MATCH("Granola Fit 200ml",Receitas_Produto,0)),"")</f>
        <v>16.9</v>
      </c>
      <c r="C12" s="19" t="n">
        <f aca="false">IFERROR(INDEX(Receitas_CustoTotalUnit,MATCH("Granola Fit 200ml",Receitas_Produto,0)),"")</f>
        <v>12.0340826945105</v>
      </c>
      <c r="D12" s="20" t="n">
        <f aca="false">IFERROR(INDEX(Receitas_CMV,MATCH("Granola Fit 200ml",Receitas_Produto,0)),"")</f>
        <v>0.273716267262293</v>
      </c>
      <c r="E12" s="20" t="n">
        <f aca="false">IFERROR(INDEX(Receitas_Margem,MATCH("Granola Fit 200ml",Receitas_Produto,0)),"")</f>
        <v>0.0829241009165366</v>
      </c>
      <c r="F12" s="19" t="n">
        <f aca="false">IFERROR(INDEX(Receitas_PrecoPraticado,MATCH("Granola Fit 300ml",Receitas_Produto,0)),"")</f>
        <v>22.9</v>
      </c>
      <c r="G12" s="19" t="n">
        <f aca="false">IFERROR(INDEX(Receitas_CustoTotalUnit,MATCH("Granola Fit 300ml",Receitas_Produto,0)),"")</f>
        <v>13.7216290862631</v>
      </c>
      <c r="H12" s="20" t="n">
        <f aca="false">IFERROR(INDEX(Receitas_CMV,MATCH("Granola Fit 300ml",Receitas_Produto,0)),"")</f>
        <v>0.275692196877089</v>
      </c>
      <c r="I12" s="20" t="n">
        <f aca="false">IFERROR(INDEX(Receitas_Margem,MATCH("Granola Fit 300ml",Receitas_Produto,0)),"")</f>
        <v>0.195802223307288</v>
      </c>
      <c r="J12" s="19" t="n">
        <f aca="false">IFERROR(INDEX(Receitas_PrecoPraticado,MATCH("Granola Fit 500ml",Receitas_Produto,0)),"")</f>
        <v>29.9</v>
      </c>
      <c r="K12" s="19" t="n">
        <f aca="false">IFERROR(INDEX(Receitas_CustoTotalUnit,MATCH("Granola Fit 500ml",Receitas_Produto,0)),"")</f>
        <v>17.2267115604899</v>
      </c>
      <c r="L12" s="20" t="n">
        <f aca="false">IFERROR(INDEX(Receitas_CMV,MATCH("Granola Fit 500ml",Receitas_Produto,0)),"")</f>
        <v>0.328375711796392</v>
      </c>
      <c r="M12" s="20" t="n">
        <f aca="false">IFERROR(INDEX(Receitas_Margem,MATCH("Granola Fit 500ml",Receitas_Produto,0)),"")</f>
        <v>0.218855800652511</v>
      </c>
    </row>
    <row r="13" customFormat="false" ht="15" hidden="false" customHeight="true" outlineLevel="0" collapsed="false">
      <c r="A13" s="18" t="s">
        <v>48</v>
      </c>
      <c r="B13" s="19" t="n">
        <f aca="false">IFERROR(INDEX(Receitas_PrecoPraticado,MATCH("Fast Protein 200ml",Receitas_Produto,0)),"")</f>
        <v>16.9</v>
      </c>
      <c r="C13" s="19" t="n">
        <f aca="false">IFERROR(INDEX(Receitas_CustoTotalUnit,MATCH("Fast Protein 200ml",Receitas_Produto,0)),"")</f>
        <v>11.762536302758</v>
      </c>
      <c r="D13" s="20" t="n">
        <f aca="false">IFERROR(INDEX(Receitas_CMV,MATCH("Fast Protein 200ml",Receitas_Produto,0)),"")</f>
        <v>0.25764843343078</v>
      </c>
      <c r="E13" s="20" t="n">
        <f aca="false">IFERROR(INDEX(Receitas_Margem,MATCH("Fast Protein 200ml",Receitas_Produto,0)),"")</f>
        <v>0.0989919347480501</v>
      </c>
      <c r="F13" s="19" t="n">
        <f aca="false">IFERROR(INDEX(Receitas_PrecoPraticado,MATCH("Fast Protein 300ml",Receitas_Produto,0)),"")</f>
        <v>22.9</v>
      </c>
      <c r="G13" s="19" t="n">
        <f aca="false">IFERROR(INDEX(Receitas_CustoTotalUnit,MATCH("Fast Protein 300ml",Receitas_Produto,0)),"")</f>
        <v>13.4500826945105</v>
      </c>
      <c r="H13" s="20" t="n">
        <f aca="false">IFERROR(INDEX(Receitas_CMV,MATCH("Fast Protein 300ml",Receitas_Produto,0)),"")</f>
        <v>0.263834275839858</v>
      </c>
      <c r="I13" s="20" t="n">
        <f aca="false">IFERROR(INDEX(Receitas_Margem,MATCH("Fast Protein 300ml",Receitas_Produto,0)),"")</f>
        <v>0.207660144344518</v>
      </c>
      <c r="J13" s="19" t="n">
        <f aca="false">IFERROR(INDEX(Receitas_PrecoPraticado,MATCH("Fast Protein 500ml",Receitas_Produto,0)),"")</f>
        <v>29.9</v>
      </c>
      <c r="K13" s="19" t="n">
        <f aca="false">IFERROR(INDEX(Receitas_CustoTotalUnit,MATCH("Fast Protein 500ml",Receitas_Produto,0)),"")</f>
        <v>16.9551651687373</v>
      </c>
      <c r="L13" s="20" t="n">
        <f aca="false">IFERROR(INDEX(Receitas_CMV,MATCH("Fast Protein 500ml",Receitas_Produto,0)),"")</f>
        <v>0.319293892674233</v>
      </c>
      <c r="M13" s="20" t="n">
        <f aca="false">IFERROR(INDEX(Receitas_Margem,MATCH("Fast Protein 500ml",Receitas_Produto,0)),"")</f>
        <v>0.227937619774671</v>
      </c>
    </row>
    <row r="14" customFormat="false" ht="15" hidden="false" customHeight="true" outlineLevel="0" collapsed="false">
      <c r="A14" s="18" t="s">
        <v>49</v>
      </c>
      <c r="B14" s="19" t="n">
        <f aca="false">IFERROR(INDEX(Receitas_PrecoPraticado,MATCH("Berry Protein 200ml",Receitas_Produto,0)),"")</f>
        <v>16.9</v>
      </c>
      <c r="C14" s="19" t="n">
        <f aca="false">IFERROR(INDEX(Receitas_CustoTotalUnit,MATCH("Berry Protein 200ml",Receitas_Produto,0)),"")</f>
        <v>11.782401489118</v>
      </c>
      <c r="D14" s="20" t="n">
        <f aca="false">IFERROR(INDEX(Receitas_CMV,MATCH("Berry Protein 200ml",Receitas_Produto,0)),"")</f>
        <v>0.258823888244983</v>
      </c>
      <c r="E14" s="20" t="n">
        <f aca="false">IFERROR(INDEX(Receitas_Margem,MATCH("Berry Protein 200ml",Receitas_Produto,0)),"")</f>
        <v>0.0978164799338471</v>
      </c>
      <c r="F14" s="19" t="n">
        <f aca="false">IFERROR(INDEX(Receitas_PrecoPraticado,MATCH("Berry Protein 300ml",Receitas_Produto,0)),"")</f>
        <v>22.9</v>
      </c>
      <c r="G14" s="19" t="n">
        <f aca="false">IFERROR(INDEX(Receitas_CustoTotalUnit,MATCH("Berry Protein 300ml",Receitas_Produto,0)),"")</f>
        <v>13.4699478808706</v>
      </c>
      <c r="H14" s="20" t="n">
        <f aca="false">IFERROR(INDEX(Receitas_CMV,MATCH("Berry Protein 300ml",Receitas_Produto,0)),"")</f>
        <v>0.264701751226759</v>
      </c>
      <c r="I14" s="20" t="n">
        <f aca="false">IFERROR(INDEX(Receitas_Margem,MATCH("Berry Protein 300ml",Receitas_Produto,0)),"")</f>
        <v>0.206792668957617</v>
      </c>
      <c r="J14" s="19" t="n">
        <f aca="false">IFERROR(INDEX(Receitas_PrecoPraticado,MATCH("Berry Protein 500ml",Receitas_Produto,0)),"")</f>
        <v>29.9</v>
      </c>
      <c r="K14" s="19" t="n">
        <f aca="false">IFERROR(INDEX(Receitas_CustoTotalUnit,MATCH("Berry Protein 500ml",Receitas_Produto,0)),"")</f>
        <v>16.9750303550974</v>
      </c>
      <c r="L14" s="20" t="n">
        <f aca="false">IFERROR(INDEX(Receitas_CMV,MATCH("Berry Protein 500ml",Receitas_Produto,0)),"")</f>
        <v>0.319958280177913</v>
      </c>
      <c r="M14" s="20" t="n">
        <f aca="false">IFERROR(INDEX(Receitas_Margem,MATCH("Berry Protein 500ml",Receitas_Produto,0)),"")</f>
        <v>0.227273232270991</v>
      </c>
    </row>
    <row r="15" customFormat="false" ht="15" hidden="false" customHeight="true" outlineLevel="0" collapsed="false">
      <c r="A15" s="18" t="s">
        <v>50</v>
      </c>
      <c r="B15" s="19" t="n">
        <f aca="false">IFERROR(INDEX(Receitas_PrecoPraticado,MATCH("Nuts Protein 200ml",Receitas_Produto,0)),"")</f>
        <v>16.9</v>
      </c>
      <c r="C15" s="19" t="n">
        <f aca="false">IFERROR(INDEX(Receitas_CustoTotalUnit,MATCH("Nuts Protein 200ml",Receitas_Produto,0)),"")</f>
        <v>10.7249074367786</v>
      </c>
      <c r="D15" s="20" t="n">
        <f aca="false">IFERROR(INDEX(Receitas_CMV,MATCH("Nuts Protein 200ml",Receitas_Produto,0)),"")</f>
        <v>0.19625027568052</v>
      </c>
      <c r="E15" s="20" t="n">
        <f aca="false">IFERROR(INDEX(Receitas_Margem,MATCH("Nuts Protein 200ml",Receitas_Produto,0)),"")</f>
        <v>0.160390092498309</v>
      </c>
      <c r="F15" s="19" t="n">
        <f aca="false">IFERROR(INDEX(Receitas_PrecoPraticado,MATCH("Nuts Protein 300ml",Receitas_Produto,0)),"")</f>
        <v>22.9</v>
      </c>
      <c r="G15" s="19" t="n">
        <f aca="false">IFERROR(INDEX(Receitas_CustoTotalUnit,MATCH("Nuts Protein 300ml",Receitas_Produto,0)),"")</f>
        <v>12.4124538285311</v>
      </c>
      <c r="H15" s="20" t="n">
        <f aca="false">IFERROR(INDEX(Receitas_CMV,MATCH("Nuts Protein 300ml",Receitas_Produto,0)),"")</f>
        <v>0.218522971648619</v>
      </c>
      <c r="I15" s="20" t="n">
        <f aca="false">IFERROR(INDEX(Receitas_Margem,MATCH("Nuts Protein 300ml",Receitas_Produto,0)),"")</f>
        <v>0.252971448535758</v>
      </c>
      <c r="J15" s="19" t="n">
        <f aca="false">IFERROR(INDEX(Receitas_PrecoPraticado,MATCH("Nuts Protein 500ml",Receitas_Produto,0)),"")</f>
        <v>29.9</v>
      </c>
      <c r="K15" s="19" t="n">
        <f aca="false">IFERROR(INDEX(Receitas_CustoTotalUnit,MATCH("Nuts Protein 500ml",Receitas_Produto,0)),"")</f>
        <v>15.917536302758</v>
      </c>
      <c r="L15" s="20" t="n">
        <f aca="false">IFERROR(INDEX(Receitas_CMV,MATCH("Nuts Protein 500ml",Receitas_Produto,0)),"")</f>
        <v>0.284590586119738</v>
      </c>
      <c r="M15" s="20" t="n">
        <f aca="false">IFERROR(INDEX(Receitas_Margem,MATCH("Nuts Protein 500ml",Receitas_Produto,0)),"")</f>
        <v>0.262640926329165</v>
      </c>
    </row>
  </sheetData>
  <mergeCells count="6">
    <mergeCell ref="A1:M1"/>
    <mergeCell ref="A2:M2"/>
    <mergeCell ref="A4:A5"/>
    <mergeCell ref="B4:E4"/>
    <mergeCell ref="F4:I4"/>
    <mergeCell ref="J4:M4"/>
  </mergeCells>
  <conditionalFormatting sqref="E6:E15">
    <cfRule type="expression" priority="2" aboveAverage="0" equalAverage="0" bottom="0" percent="0" rank="0" text="" dxfId="0">
      <formula>AND(ISNUMBER(E6),E6&gt;=MargemLiquidaDesejada)</formula>
    </cfRule>
    <cfRule type="expression" priority="3" aboveAverage="0" equalAverage="0" bottom="0" percent="0" rank="0" text="" dxfId="1">
      <formula>AND(ISNUMBER(E6),E6&lt;MargemLiquidaDesejada,E6&gt;=MargemLiquidaDesejada*0.8)</formula>
    </cfRule>
    <cfRule type="expression" priority="4" aboveAverage="0" equalAverage="0" bottom="0" percent="0" rank="0" text="" dxfId="2">
      <formula>AND(ISNUMBER(E6),E6&lt;MargemLiquidaDesejada*0.8)</formula>
    </cfRule>
  </conditionalFormatting>
  <conditionalFormatting sqref="I6:I15">
    <cfRule type="expression" priority="5" aboveAverage="0" equalAverage="0" bottom="0" percent="0" rank="0" text="" dxfId="0">
      <formula>AND(ISNUMBER(I6),I6&gt;=MargemLiquidaDesejada)</formula>
    </cfRule>
    <cfRule type="expression" priority="6" aboveAverage="0" equalAverage="0" bottom="0" percent="0" rank="0" text="" dxfId="1">
      <formula>AND(ISNUMBER(I6),I6&lt;MargemLiquidaDesejada,I6&gt;=MargemLiquidaDesejada*0.8)</formula>
    </cfRule>
    <cfRule type="expression" priority="7" aboveAverage="0" equalAverage="0" bottom="0" percent="0" rank="0" text="" dxfId="2">
      <formula>AND(ISNUMBER(I6),I6&lt;MargemLiquidaDesejada*0.8)</formula>
    </cfRule>
  </conditionalFormatting>
  <conditionalFormatting sqref="M6:M15">
    <cfRule type="expression" priority="8" aboveAverage="0" equalAverage="0" bottom="0" percent="0" rank="0" text="" dxfId="0">
      <formula>AND(ISNUMBER(M6),M6&gt;=MargemLiquidaDesejada)</formula>
    </cfRule>
    <cfRule type="expression" priority="9" aboveAverage="0" equalAverage="0" bottom="0" percent="0" rank="0" text="" dxfId="1">
      <formula>AND(ISNUMBER(M6),M6&lt;MargemLiquidaDesejada,M6&gt;=MargemLiquidaDesejada*0.8)</formula>
    </cfRule>
    <cfRule type="expression" priority="10" aboveAverage="0" equalAverage="0" bottom="0" percent="0" rank="0" text="" dxfId="2">
      <formula>AND(ISNUMBER(M6),M6&lt;MargemLiquidaDesejada*0.8)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62"/>
  </cols>
  <sheetData>
    <row r="1" customFormat="false" ht="25.5" hidden="false" customHeight="true" outlineLevel="0" collapsed="false">
      <c r="A1" s="13" t="s">
        <v>51</v>
      </c>
      <c r="B1" s="13"/>
      <c r="C1" s="13"/>
    </row>
    <row r="2" customFormat="false" ht="43.5" hidden="false" customHeight="true" outlineLevel="0" collapsed="false">
      <c r="A2" s="14" t="s">
        <v>52</v>
      </c>
      <c r="B2" s="14"/>
      <c r="C2" s="14"/>
    </row>
    <row r="4" customFormat="false" ht="30" hidden="false" customHeight="true" outlineLevel="0" collapsed="false">
      <c r="A4" s="21" t="s">
        <v>53</v>
      </c>
      <c r="B4" s="21" t="s">
        <v>54</v>
      </c>
      <c r="C4" s="21" t="s">
        <v>55</v>
      </c>
    </row>
    <row r="5" customFormat="false" ht="30" hidden="false" customHeight="true" outlineLevel="0" collapsed="false">
      <c r="A5" s="10" t="s">
        <v>56</v>
      </c>
      <c r="B5" s="22" t="n">
        <v>0.65</v>
      </c>
      <c r="C5" s="23" t="s">
        <v>57</v>
      </c>
    </row>
    <row r="6" customFormat="false" ht="30" hidden="false" customHeight="true" outlineLevel="0" collapsed="false">
      <c r="A6" s="10" t="s">
        <v>58</v>
      </c>
      <c r="B6" s="22" t="n">
        <v>0.15</v>
      </c>
      <c r="C6" s="23" t="s">
        <v>59</v>
      </c>
    </row>
    <row r="7" customFormat="false" ht="30" hidden="false" customHeight="true" outlineLevel="0" collapsed="false">
      <c r="A7" s="10" t="s">
        <v>60</v>
      </c>
      <c r="B7" s="22" t="n">
        <v>0.06</v>
      </c>
      <c r="C7" s="23" t="s">
        <v>61</v>
      </c>
    </row>
    <row r="8" customFormat="false" ht="30" hidden="false" customHeight="true" outlineLevel="0" collapsed="false">
      <c r="A8" s="10" t="s">
        <v>62</v>
      </c>
      <c r="B8" s="22" t="n">
        <v>0.025</v>
      </c>
      <c r="C8" s="23" t="s">
        <v>63</v>
      </c>
    </row>
    <row r="9" customFormat="false" ht="30" hidden="false" customHeight="true" outlineLevel="0" collapsed="false">
      <c r="A9" s="10" t="s">
        <v>64</v>
      </c>
      <c r="B9" s="22" t="n">
        <v>0.12</v>
      </c>
      <c r="C9" s="23" t="s">
        <v>65</v>
      </c>
    </row>
    <row r="10" customFormat="false" ht="30" hidden="false" customHeight="true" outlineLevel="0" collapsed="false">
      <c r="A10" s="10" t="s">
        <v>66</v>
      </c>
      <c r="B10" s="22" t="n">
        <v>0.03</v>
      </c>
      <c r="C10" s="23" t="s">
        <v>67</v>
      </c>
    </row>
    <row r="11" customFormat="false" ht="30" hidden="false" customHeight="true" outlineLevel="0" collapsed="false">
      <c r="A11" s="10" t="s">
        <v>68</v>
      </c>
      <c r="B11" s="22" t="n">
        <v>0.1</v>
      </c>
      <c r="C11" s="23" t="s">
        <v>69</v>
      </c>
    </row>
    <row r="12" customFormat="false" ht="30" hidden="false" customHeight="true" outlineLevel="0" collapsed="false">
      <c r="A12" s="24" t="s">
        <v>70</v>
      </c>
    </row>
    <row r="13" customFormat="false" ht="30" hidden="false" customHeight="true" outlineLevel="0" collapsed="false">
      <c r="A13" s="18" t="s">
        <v>71</v>
      </c>
      <c r="B13" s="25" t="s">
        <v>72</v>
      </c>
      <c r="C13" s="26" t="s">
        <v>73</v>
      </c>
    </row>
  </sheetData>
  <mergeCells count="2">
    <mergeCell ref="A1:C1"/>
    <mergeCell ref="A2:C2"/>
  </mergeCells>
  <dataValidations count="1">
    <dataValidation allowBlank="true" errorStyle="stop" operator="between" showDropDown="false" showErrorMessage="true" showInputMessage="false" sqref="B13" type="list">
      <formula1>Rateio_LojasHeader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false"/>
  </sheetPr>
  <dimension ref="A1:L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11"/>
    <col collapsed="false" customWidth="true" hidden="false" outlineLevel="0" max="12" min="12" style="1" width="18"/>
  </cols>
  <sheetData>
    <row r="1" customFormat="false" ht="25.5" hidden="false" customHeight="true" outlineLevel="0" collapsed="false">
      <c r="A1" s="13" t="s">
        <v>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30" hidden="false" customHeight="true" outlineLevel="0" collapsed="false">
      <c r="A2" s="14" t="s">
        <v>75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30" hidden="false" customHeight="true" outlineLevel="0" collapsed="false">
      <c r="A4" s="27" t="s">
        <v>76</v>
      </c>
      <c r="B4" s="27" t="s">
        <v>77</v>
      </c>
      <c r="C4" s="27" t="s">
        <v>78</v>
      </c>
      <c r="D4" s="27" t="s">
        <v>79</v>
      </c>
      <c r="E4" s="27" t="s">
        <v>80</v>
      </c>
      <c r="F4" s="27" t="s">
        <v>81</v>
      </c>
      <c r="G4" s="27" t="s">
        <v>82</v>
      </c>
      <c r="H4" s="27" t="s">
        <v>83</v>
      </c>
      <c r="I4" s="27" t="s">
        <v>84</v>
      </c>
      <c r="J4" s="27" t="s">
        <v>85</v>
      </c>
      <c r="K4" s="27" t="s">
        <v>86</v>
      </c>
      <c r="L4" s="27" t="s">
        <v>87</v>
      </c>
    </row>
    <row r="5" customFormat="false" ht="15" hidden="false" customHeight="true" outlineLevel="0" collapsed="false">
      <c r="A5" s="28" t="s">
        <v>88</v>
      </c>
      <c r="B5" s="29" t="s">
        <v>89</v>
      </c>
      <c r="C5" s="29"/>
      <c r="D5" s="29" t="s">
        <v>90</v>
      </c>
      <c r="E5" s="30" t="s">
        <v>91</v>
      </c>
      <c r="F5" s="31" t="n">
        <v>9000</v>
      </c>
      <c r="G5" s="32" t="n">
        <v>148.5</v>
      </c>
      <c r="H5" s="32" t="n">
        <v>0</v>
      </c>
      <c r="I5" s="19" t="n">
        <f aca="false">IF(AND($G5="",$H5=""),"",SUM($G5:$H5))</f>
        <v>148.5</v>
      </c>
      <c r="J5" s="19" t="n">
        <f aca="false">IF($B5="","",IF($B5="Embalagens",IFERROR(INDEX(Embalagens_CustoUnit,MATCH($A5,Embalagens_Nome,0)),0),IFERROR($I5/$F5,0)))</f>
        <v>0.0165</v>
      </c>
      <c r="K5" s="29" t="s">
        <v>92</v>
      </c>
      <c r="L5" s="19" t="str">
        <f aca="false">IF($B5="Coberturas (30g)",IF($D5="un",$J5,$J5*30),"")</f>
        <v/>
      </c>
    </row>
    <row r="6" customFormat="false" ht="15" hidden="false" customHeight="true" outlineLevel="0" collapsed="false">
      <c r="A6" s="28" t="s">
        <v>93</v>
      </c>
      <c r="B6" s="29" t="s">
        <v>89</v>
      </c>
      <c r="C6" s="29"/>
      <c r="D6" s="29" t="s">
        <v>90</v>
      </c>
      <c r="E6" s="30" t="s">
        <v>91</v>
      </c>
      <c r="F6" s="31" t="n">
        <v>9000</v>
      </c>
      <c r="G6" s="32" t="n">
        <v>148.5</v>
      </c>
      <c r="H6" s="32" t="n">
        <v>0</v>
      </c>
      <c r="I6" s="19" t="n">
        <f aca="false">IF(AND($G6="",$H6=""),"",SUM($G6:$H6))</f>
        <v>148.5</v>
      </c>
      <c r="J6" s="19" t="n">
        <f aca="false">IF($B6="","",IF($B6="Embalagens",IFERROR(INDEX(Embalagens_CustoUnit,MATCH($A6,Embalagens_Nome,0)),0),IFERROR($I6/$F6,0)))</f>
        <v>0.0165</v>
      </c>
      <c r="K6" s="29" t="s">
        <v>92</v>
      </c>
      <c r="L6" s="19" t="str">
        <f aca="false">IF($B6="Coberturas (30g)",IF($D6="un",$J6,$J6*30),"")</f>
        <v/>
      </c>
    </row>
    <row r="7" customFormat="false" ht="15" hidden="false" customHeight="true" outlineLevel="0" collapsed="false">
      <c r="A7" s="28" t="s">
        <v>94</v>
      </c>
      <c r="B7" s="29" t="s">
        <v>89</v>
      </c>
      <c r="C7" s="29"/>
      <c r="D7" s="29" t="s">
        <v>90</v>
      </c>
      <c r="E7" s="30" t="s">
        <v>95</v>
      </c>
      <c r="F7" s="31" t="n">
        <v>1000</v>
      </c>
      <c r="G7" s="32"/>
      <c r="H7" s="32" t="n">
        <v>0</v>
      </c>
      <c r="I7" s="19" t="n">
        <f aca="false">IF(AND($G7="",$H7=""),"",SUM($G7:$H7))</f>
        <v>0</v>
      </c>
      <c r="J7" s="19" t="n">
        <f aca="false">IF($B7="","",IF($B7="Embalagens",IFERROR(INDEX(Embalagens_CustoUnit,MATCH($A7,Embalagens_Nome,0)),0),IFERROR($I7/$F7,0)))</f>
        <v>0</v>
      </c>
      <c r="K7" s="29" t="s">
        <v>92</v>
      </c>
      <c r="L7" s="19" t="str">
        <f aca="false">IF($B7="Coberturas (30g)",IF($D7="un",$J7,$J7*30),"")</f>
        <v/>
      </c>
    </row>
    <row r="8" customFormat="false" ht="15" hidden="false" customHeight="true" outlineLevel="0" collapsed="false">
      <c r="A8" s="28" t="s">
        <v>96</v>
      </c>
      <c r="B8" s="29" t="s">
        <v>97</v>
      </c>
      <c r="C8" s="29"/>
      <c r="D8" s="29" t="s">
        <v>98</v>
      </c>
      <c r="E8" s="30" t="s">
        <v>99</v>
      </c>
      <c r="F8" s="31" t="n">
        <v>1000</v>
      </c>
      <c r="G8" s="32" t="n">
        <v>33.55</v>
      </c>
      <c r="H8" s="32"/>
      <c r="I8" s="19" t="n">
        <f aca="false">IF(AND($G8="",$H8=""),"",SUM($G8:$H8))</f>
        <v>33.55</v>
      </c>
      <c r="J8" s="19" t="n">
        <f aca="false">IF($B8="","",IF($B8="Embalagens",IFERROR(INDEX(Embalagens_CustoUnit,MATCH($A8,Embalagens_Nome,0)),0),IFERROR($I8/$F8,0)))</f>
        <v>0.03355</v>
      </c>
      <c r="K8" s="29" t="s">
        <v>92</v>
      </c>
      <c r="L8" s="19" t="n">
        <f aca="false">IF($B8="Coberturas (30g)",IF($D8="un",$J8,$J8*30),"")</f>
        <v>1.0065</v>
      </c>
    </row>
    <row r="9" customFormat="false" ht="15" hidden="false" customHeight="true" outlineLevel="0" collapsed="false">
      <c r="A9" s="28" t="s">
        <v>100</v>
      </c>
      <c r="B9" s="29" t="s">
        <v>97</v>
      </c>
      <c r="C9" s="29"/>
      <c r="D9" s="29" t="s">
        <v>98</v>
      </c>
      <c r="E9" s="30" t="s">
        <v>99</v>
      </c>
      <c r="F9" s="31" t="n">
        <v>390000</v>
      </c>
      <c r="G9" s="32" t="n">
        <v>900</v>
      </c>
      <c r="H9" s="32"/>
      <c r="I9" s="19" t="n">
        <f aca="false">IF(AND($G9="",$H9=""),"",SUM($G9:$H9))</f>
        <v>900</v>
      </c>
      <c r="J9" s="19" t="n">
        <f aca="false">IF($B9="","",IF($B9="Embalagens",IFERROR(INDEX(Embalagens_CustoUnit,MATCH($A9,Embalagens_Nome,0)),0),IFERROR($I9/$F9,0)))</f>
        <v>0.00230769230769231</v>
      </c>
      <c r="K9" s="29" t="s">
        <v>92</v>
      </c>
      <c r="L9" s="19" t="n">
        <f aca="false">IF($B9="Coberturas (30g)",IF($D9="un",$J9,$J9*30),"")</f>
        <v>0.0692307692307692</v>
      </c>
    </row>
    <row r="10" customFormat="false" ht="15" hidden="false" customHeight="true" outlineLevel="0" collapsed="false">
      <c r="A10" s="28" t="s">
        <v>101</v>
      </c>
      <c r="B10" s="29" t="s">
        <v>97</v>
      </c>
      <c r="C10" s="29"/>
      <c r="D10" s="29" t="s">
        <v>98</v>
      </c>
      <c r="E10" s="30" t="s">
        <v>99</v>
      </c>
      <c r="F10" s="31" t="n">
        <v>5000</v>
      </c>
      <c r="G10" s="32" t="n">
        <v>82.5</v>
      </c>
      <c r="H10" s="32"/>
      <c r="I10" s="19" t="n">
        <f aca="false">IF(AND($G10="",$H10=""),"",SUM($G10:$H10))</f>
        <v>82.5</v>
      </c>
      <c r="J10" s="19" t="n">
        <f aca="false">IF($B10="","",IF($B10="Embalagens",IFERROR(INDEX(Embalagens_CustoUnit,MATCH($A10,Embalagens_Nome,0)),0),IFERROR($I10/$F10,0)))</f>
        <v>0.0165</v>
      </c>
      <c r="K10" s="29" t="s">
        <v>92</v>
      </c>
      <c r="L10" s="19" t="n">
        <f aca="false">IF($B10="Coberturas (30g)",IF($D10="un",$J10,$J10*30),"")</f>
        <v>0.495</v>
      </c>
    </row>
    <row r="11" customFormat="false" ht="15" hidden="false" customHeight="true" outlineLevel="0" collapsed="false">
      <c r="A11" s="28" t="s">
        <v>102</v>
      </c>
      <c r="B11" s="29" t="s">
        <v>97</v>
      </c>
      <c r="C11" s="29"/>
      <c r="D11" s="29" t="s">
        <v>98</v>
      </c>
      <c r="E11" s="30" t="s">
        <v>99</v>
      </c>
      <c r="F11" s="31" t="n">
        <v>1000</v>
      </c>
      <c r="G11" s="32" t="n">
        <v>20</v>
      </c>
      <c r="H11" s="32"/>
      <c r="I11" s="19" t="n">
        <f aca="false">IF(AND($G11="",$H11=""),"",SUM($G11:$H11))</f>
        <v>20</v>
      </c>
      <c r="J11" s="19" t="n">
        <f aca="false">IF($B11="","",IF($B11="Embalagens",IFERROR(INDEX(Embalagens_CustoUnit,MATCH($A11,Embalagens_Nome,0)),0),IFERROR($I11/$F11,0)))</f>
        <v>0.02</v>
      </c>
      <c r="K11" s="29" t="s">
        <v>92</v>
      </c>
      <c r="L11" s="19" t="n">
        <f aca="false">IF($B11="Coberturas (30g)",IF($D11="un",$J11,$J11*30),"")</f>
        <v>0.6</v>
      </c>
    </row>
    <row r="12" customFormat="false" ht="15" hidden="false" customHeight="true" outlineLevel="0" collapsed="false">
      <c r="A12" s="28" t="s">
        <v>103</v>
      </c>
      <c r="B12" s="29" t="s">
        <v>97</v>
      </c>
      <c r="C12" s="29"/>
      <c r="D12" s="29" t="s">
        <v>98</v>
      </c>
      <c r="E12" s="30" t="s">
        <v>99</v>
      </c>
      <c r="F12" s="31" t="n">
        <v>1000</v>
      </c>
      <c r="G12" s="32" t="n">
        <v>12.13</v>
      </c>
      <c r="H12" s="32"/>
      <c r="I12" s="19" t="n">
        <f aca="false">IF(AND($G12="",$H12=""),"",SUM($G12:$H12))</f>
        <v>12.13</v>
      </c>
      <c r="J12" s="19" t="n">
        <f aca="false">IF($B12="","",IF($B12="Embalagens",IFERROR(INDEX(Embalagens_CustoUnit,MATCH($A12,Embalagens_Nome,0)),0),IFERROR($I12/$F12,0)))</f>
        <v>0.01213</v>
      </c>
      <c r="K12" s="29" t="s">
        <v>92</v>
      </c>
      <c r="L12" s="19" t="n">
        <f aca="false">IF($B12="Coberturas (30g)",IF($D12="un",$J12,$J12*30),"")</f>
        <v>0.3639</v>
      </c>
    </row>
    <row r="13" customFormat="false" ht="15" hidden="false" customHeight="true" outlineLevel="0" collapsed="false">
      <c r="A13" s="28" t="s">
        <v>104</v>
      </c>
      <c r="B13" s="29" t="s">
        <v>97</v>
      </c>
      <c r="C13" s="29"/>
      <c r="D13" s="29" t="s">
        <v>98</v>
      </c>
      <c r="E13" s="30" t="s">
        <v>99</v>
      </c>
      <c r="F13" s="31" t="n">
        <v>1000</v>
      </c>
      <c r="G13" s="32" t="n">
        <v>22.33</v>
      </c>
      <c r="H13" s="32"/>
      <c r="I13" s="19" t="n">
        <f aca="false">IF(AND($G13="",$H13=""),"",SUM($G13:$H13))</f>
        <v>22.33</v>
      </c>
      <c r="J13" s="19" t="n">
        <f aca="false">IF($B13="","",IF($B13="Embalagens",IFERROR(INDEX(Embalagens_CustoUnit,MATCH($A13,Embalagens_Nome,0)),0),IFERROR($I13/$F13,0)))</f>
        <v>0.02233</v>
      </c>
      <c r="K13" s="29" t="s">
        <v>92</v>
      </c>
      <c r="L13" s="19" t="n">
        <f aca="false">IF($B13="Coberturas (30g)",IF($D13="un",$J13,$J13*30),"")</f>
        <v>0.6699</v>
      </c>
    </row>
    <row r="14" customFormat="false" ht="15" hidden="false" customHeight="true" outlineLevel="0" collapsed="false">
      <c r="A14" s="28" t="s">
        <v>105</v>
      </c>
      <c r="B14" s="29" t="s">
        <v>97</v>
      </c>
      <c r="C14" s="29"/>
      <c r="D14" s="29" t="s">
        <v>98</v>
      </c>
      <c r="E14" s="30" t="s">
        <v>99</v>
      </c>
      <c r="F14" s="31" t="n">
        <v>1000</v>
      </c>
      <c r="G14" s="32"/>
      <c r="H14" s="32"/>
      <c r="I14" s="19" t="str">
        <f aca="false">IF(AND($G14="",$H14=""),"",SUM($G14:$H14))</f>
        <v/>
      </c>
      <c r="J14" s="19" t="n">
        <f aca="false">IF($B14="","",IF($B14="Embalagens",IFERROR(INDEX(Embalagens_CustoUnit,MATCH($A14,Embalagens_Nome,0)),0),IFERROR($I14/$F14,0)))</f>
        <v>0</v>
      </c>
      <c r="K14" s="29" t="s">
        <v>92</v>
      </c>
      <c r="L14" s="19" t="n">
        <f aca="false">IF($B14="Coberturas (30g)",IF($D14="un",$J14,$J14*30),"")</f>
        <v>0</v>
      </c>
    </row>
    <row r="15" customFormat="false" ht="15" hidden="false" customHeight="true" outlineLevel="0" collapsed="false">
      <c r="A15" s="28" t="s">
        <v>106</v>
      </c>
      <c r="B15" s="29" t="s">
        <v>97</v>
      </c>
      <c r="C15" s="29"/>
      <c r="D15" s="29" t="s">
        <v>98</v>
      </c>
      <c r="E15" s="30" t="s">
        <v>99</v>
      </c>
      <c r="F15" s="31" t="n">
        <v>1000</v>
      </c>
      <c r="G15" s="32" t="n">
        <v>53.2</v>
      </c>
      <c r="H15" s="32"/>
      <c r="I15" s="19" t="n">
        <f aca="false">IF(AND($G15="",$H15=""),"",SUM($G15:$H15))</f>
        <v>53.2</v>
      </c>
      <c r="J15" s="19" t="n">
        <f aca="false">IF($B15="","",IF($B15="Embalagens",IFERROR(INDEX(Embalagens_CustoUnit,MATCH($A15,Embalagens_Nome,0)),0),IFERROR($I15/$F15,0)))</f>
        <v>0.0532</v>
      </c>
      <c r="K15" s="29" t="s">
        <v>92</v>
      </c>
      <c r="L15" s="19" t="n">
        <f aca="false">IF($B15="Coberturas (30g)",IF($D15="un",$J15,$J15*30),"")</f>
        <v>1.596</v>
      </c>
    </row>
    <row r="16" customFormat="false" ht="15" hidden="false" customHeight="true" outlineLevel="0" collapsed="false">
      <c r="A16" s="28" t="s">
        <v>107</v>
      </c>
      <c r="B16" s="29" t="s">
        <v>97</v>
      </c>
      <c r="C16" s="29"/>
      <c r="D16" s="29" t="s">
        <v>98</v>
      </c>
      <c r="E16" s="30" t="s">
        <v>99</v>
      </c>
      <c r="F16" s="31" t="n">
        <v>1000</v>
      </c>
      <c r="G16" s="32" t="n">
        <v>20.34</v>
      </c>
      <c r="H16" s="32"/>
      <c r="I16" s="19" t="n">
        <f aca="false">IF(AND($G16="",$H16=""),"",SUM($G16:$H16))</f>
        <v>20.34</v>
      </c>
      <c r="J16" s="19" t="n">
        <f aca="false">IF($B16="","",IF($B16="Embalagens",IFERROR(INDEX(Embalagens_CustoUnit,MATCH($A16,Embalagens_Nome,0)),0),IFERROR($I16/$F16,0)))</f>
        <v>0.02034</v>
      </c>
      <c r="K16" s="29" t="s">
        <v>92</v>
      </c>
      <c r="L16" s="19" t="n">
        <f aca="false">IF($B16="Coberturas (30g)",IF($D16="un",$J16,$J16*30),"")</f>
        <v>0.6102</v>
      </c>
    </row>
    <row r="17" customFormat="false" ht="15" hidden="false" customHeight="true" outlineLevel="0" collapsed="false">
      <c r="A17" s="28" t="s">
        <v>108</v>
      </c>
      <c r="B17" s="29" t="s">
        <v>97</v>
      </c>
      <c r="C17" s="29"/>
      <c r="D17" s="29" t="s">
        <v>98</v>
      </c>
      <c r="E17" s="30" t="s">
        <v>99</v>
      </c>
      <c r="F17" s="31" t="n">
        <v>1000</v>
      </c>
      <c r="G17" s="32" t="n">
        <v>29.59</v>
      </c>
      <c r="H17" s="32"/>
      <c r="I17" s="19" t="n">
        <f aca="false">IF(AND($G17="",$H17=""),"",SUM($G17:$H17))</f>
        <v>29.59</v>
      </c>
      <c r="J17" s="19" t="n">
        <f aca="false">IF($B17="","",IF($B17="Embalagens",IFERROR(INDEX(Embalagens_CustoUnit,MATCH($A17,Embalagens_Nome,0)),0),IFERROR($I17/$F17,0)))</f>
        <v>0.02959</v>
      </c>
      <c r="K17" s="29" t="s">
        <v>92</v>
      </c>
      <c r="L17" s="19" t="n">
        <f aca="false">IF($B17="Coberturas (30g)",IF($D17="un",$J17,$J17*30),"")</f>
        <v>0.8877</v>
      </c>
    </row>
    <row r="18" customFormat="false" ht="15" hidden="false" customHeight="true" outlineLevel="0" collapsed="false">
      <c r="A18" s="28" t="s">
        <v>109</v>
      </c>
      <c r="B18" s="29" t="s">
        <v>97</v>
      </c>
      <c r="C18" s="29"/>
      <c r="D18" s="29" t="s">
        <v>90</v>
      </c>
      <c r="E18" s="30" t="s">
        <v>110</v>
      </c>
      <c r="F18" s="31" t="n">
        <v>1000</v>
      </c>
      <c r="G18" s="32"/>
      <c r="H18" s="32"/>
      <c r="I18" s="19" t="str">
        <f aca="false">IF(AND($G18="",$H18=""),"",SUM($G18:$H18))</f>
        <v/>
      </c>
      <c r="J18" s="19" t="n">
        <f aca="false">IF($B18="","",IF($B18="Embalagens",IFERROR(INDEX(Embalagens_CustoUnit,MATCH($A18,Embalagens_Nome,0)),0),IFERROR($I18/$F18,0)))</f>
        <v>0</v>
      </c>
      <c r="K18" s="29" t="s">
        <v>92</v>
      </c>
      <c r="L18" s="19" t="n">
        <f aca="false">IF($B18="Coberturas (30g)",IF($D18="un",$J18,$J18*30),"")</f>
        <v>0</v>
      </c>
    </row>
    <row r="19" customFormat="false" ht="15" hidden="false" customHeight="true" outlineLevel="0" collapsed="false">
      <c r="A19" s="28" t="s">
        <v>111</v>
      </c>
      <c r="B19" s="29" t="s">
        <v>97</v>
      </c>
      <c r="C19" s="29"/>
      <c r="D19" s="29" t="s">
        <v>90</v>
      </c>
      <c r="E19" s="30" t="s">
        <v>110</v>
      </c>
      <c r="F19" s="31" t="n">
        <v>1000</v>
      </c>
      <c r="G19" s="32"/>
      <c r="H19" s="32"/>
      <c r="I19" s="19" t="str">
        <f aca="false">IF(AND($G19="",$H19=""),"",SUM($G19:$H19))</f>
        <v/>
      </c>
      <c r="J19" s="19" t="n">
        <f aca="false">IF($B19="","",IF($B19="Embalagens",IFERROR(INDEX(Embalagens_CustoUnit,MATCH($A19,Embalagens_Nome,0)),0),IFERROR($I19/$F19,0)))</f>
        <v>0</v>
      </c>
      <c r="K19" s="29" t="s">
        <v>92</v>
      </c>
      <c r="L19" s="19" t="n">
        <f aca="false">IF($B19="Coberturas (30g)",IF($D19="un",$J19,$J19*30),"")</f>
        <v>0</v>
      </c>
    </row>
    <row r="20" customFormat="false" ht="15" hidden="false" customHeight="true" outlineLevel="0" collapsed="false">
      <c r="A20" s="28" t="s">
        <v>112</v>
      </c>
      <c r="B20" s="29" t="s">
        <v>97</v>
      </c>
      <c r="C20" s="29"/>
      <c r="D20" s="29" t="s">
        <v>90</v>
      </c>
      <c r="E20" s="30" t="s">
        <v>110</v>
      </c>
      <c r="F20" s="31"/>
      <c r="G20" s="32"/>
      <c r="H20" s="32"/>
      <c r="I20" s="19" t="str">
        <f aca="false">IF(AND($G20="",$H20=""),"",SUM($G20:$H20))</f>
        <v/>
      </c>
      <c r="J20" s="19" t="n">
        <f aca="false">IF($B20="","",IF($B20="Embalagens",IFERROR(INDEX(Embalagens_CustoUnit,MATCH($A20,Embalagens_Nome,0)),0),IFERROR($I20/$F20,0)))</f>
        <v>0</v>
      </c>
      <c r="K20" s="29" t="s">
        <v>92</v>
      </c>
      <c r="L20" s="19" t="n">
        <f aca="false">IF($B20="Coberturas (30g)",IF($D20="un",$J20,$J20*30),"")</f>
        <v>0</v>
      </c>
    </row>
    <row r="21" customFormat="false" ht="15" hidden="false" customHeight="true" outlineLevel="0" collapsed="false">
      <c r="A21" s="28" t="s">
        <v>113</v>
      </c>
      <c r="B21" s="29" t="s">
        <v>97</v>
      </c>
      <c r="C21" s="29"/>
      <c r="D21" s="29" t="s">
        <v>90</v>
      </c>
      <c r="E21" s="30" t="s">
        <v>110</v>
      </c>
      <c r="F21" s="31" t="n">
        <v>1000</v>
      </c>
      <c r="G21" s="32"/>
      <c r="H21" s="32"/>
      <c r="I21" s="19" t="str">
        <f aca="false">IF(AND($G21="",$H21=""),"",SUM($G21:$H21))</f>
        <v/>
      </c>
      <c r="J21" s="19" t="n">
        <f aca="false">IF($B21="","",IF($B21="Embalagens",IFERROR(INDEX(Embalagens_CustoUnit,MATCH($A21,Embalagens_Nome,0)),0),IFERROR($I21/$F21,0)))</f>
        <v>0</v>
      </c>
      <c r="K21" s="29" t="s">
        <v>92</v>
      </c>
      <c r="L21" s="19" t="n">
        <f aca="false">IF($B21="Coberturas (30g)",IF($D21="un",$J21,$J21*30),"")</f>
        <v>0</v>
      </c>
    </row>
    <row r="22" customFormat="false" ht="15" hidden="false" customHeight="true" outlineLevel="0" collapsed="false">
      <c r="A22" s="28" t="s">
        <v>114</v>
      </c>
      <c r="B22" s="29" t="s">
        <v>97</v>
      </c>
      <c r="C22" s="29"/>
      <c r="D22" s="29" t="s">
        <v>98</v>
      </c>
      <c r="E22" s="30" t="s">
        <v>99</v>
      </c>
      <c r="F22" s="31" t="n">
        <v>1000</v>
      </c>
      <c r="G22" s="32"/>
      <c r="H22" s="32"/>
      <c r="I22" s="19" t="str">
        <f aca="false">IF(AND($G22="",$H22=""),"",SUM($G22:$H22))</f>
        <v/>
      </c>
      <c r="J22" s="19" t="n">
        <f aca="false">IF($B22="","",IF($B22="Embalagens",IFERROR(INDEX(Embalagens_CustoUnit,MATCH($A22,Embalagens_Nome,0)),0),IFERROR($I22/$F22,0)))</f>
        <v>0</v>
      </c>
      <c r="K22" s="29" t="s">
        <v>92</v>
      </c>
      <c r="L22" s="19" t="n">
        <f aca="false">IF($B22="Coberturas (30g)",IF($D22="un",$J22,$J22*30),"")</f>
        <v>0</v>
      </c>
    </row>
    <row r="23" customFormat="false" ht="15" hidden="false" customHeight="true" outlineLevel="0" collapsed="false">
      <c r="A23" s="28" t="s">
        <v>115</v>
      </c>
      <c r="B23" s="29" t="s">
        <v>97</v>
      </c>
      <c r="C23" s="29"/>
      <c r="D23" s="29" t="s">
        <v>98</v>
      </c>
      <c r="E23" s="30" t="s">
        <v>99</v>
      </c>
      <c r="F23" s="31" t="n">
        <v>1000</v>
      </c>
      <c r="G23" s="32"/>
      <c r="H23" s="32"/>
      <c r="I23" s="19" t="str">
        <f aca="false">IF(AND($G23="",$H23=""),"",SUM($G23:$H23))</f>
        <v/>
      </c>
      <c r="J23" s="19" t="n">
        <f aca="false">IF($B23="","",IF($B23="Embalagens",IFERROR(INDEX(Embalagens_CustoUnit,MATCH($A23,Embalagens_Nome,0)),0),IFERROR($I23/$F23,0)))</f>
        <v>0</v>
      </c>
      <c r="K23" s="29" t="s">
        <v>92</v>
      </c>
      <c r="L23" s="19" t="n">
        <f aca="false">IF($B23="Coberturas (30g)",IF($D23="un",$J23,$J23*30),"")</f>
        <v>0</v>
      </c>
    </row>
    <row r="24" customFormat="false" ht="15" hidden="false" customHeight="true" outlineLevel="0" collapsed="false">
      <c r="A24" s="28" t="s">
        <v>116</v>
      </c>
      <c r="B24" s="29" t="s">
        <v>97</v>
      </c>
      <c r="C24" s="29"/>
      <c r="D24" s="29" t="s">
        <v>98</v>
      </c>
      <c r="E24" s="30" t="s">
        <v>99</v>
      </c>
      <c r="F24" s="31" t="n">
        <v>1000</v>
      </c>
      <c r="G24" s="32"/>
      <c r="H24" s="32"/>
      <c r="I24" s="19" t="str">
        <f aca="false">IF(AND($G24="",$H24=""),"",SUM($G24:$H24))</f>
        <v/>
      </c>
      <c r="J24" s="19" t="n">
        <f aca="false">IF($B24="","",IF($B24="Embalagens",IFERROR(INDEX(Embalagens_CustoUnit,MATCH($A24,Embalagens_Nome,0)),0),IFERROR($I24/$F24,0)))</f>
        <v>0</v>
      </c>
      <c r="K24" s="29" t="s">
        <v>92</v>
      </c>
      <c r="L24" s="19" t="n">
        <f aca="false">IF($B24="Coberturas (30g)",IF($D24="un",$J24,$J24*30),"")</f>
        <v>0</v>
      </c>
    </row>
    <row r="25" customFormat="false" ht="15" hidden="false" customHeight="true" outlineLevel="0" collapsed="false">
      <c r="A25" s="28" t="s">
        <v>117</v>
      </c>
      <c r="B25" s="29" t="s">
        <v>97</v>
      </c>
      <c r="C25" s="29"/>
      <c r="D25" s="29" t="s">
        <v>118</v>
      </c>
      <c r="E25" s="30" t="s">
        <v>119</v>
      </c>
      <c r="F25" s="31" t="n">
        <v>1000</v>
      </c>
      <c r="G25" s="32"/>
      <c r="H25" s="32"/>
      <c r="I25" s="19" t="str">
        <f aca="false">IF(AND($G25="",$H25=""),"",SUM($G25:$H25))</f>
        <v/>
      </c>
      <c r="J25" s="19" t="n">
        <f aca="false">IF($B25="","",IF($B25="Embalagens",IFERROR(INDEX(Embalagens_CustoUnit,MATCH($A25,Embalagens_Nome,0)),0),IFERROR($I25/$F25,0)))</f>
        <v>0</v>
      </c>
      <c r="K25" s="29" t="s">
        <v>92</v>
      </c>
      <c r="L25" s="19" t="n">
        <f aca="false">IF($B25="Coberturas (30g)",IF($D25="un",$J25,$J25*30),"")</f>
        <v>0</v>
      </c>
    </row>
    <row r="26" customFormat="false" ht="15" hidden="false" customHeight="true" outlineLevel="0" collapsed="false">
      <c r="A26" s="28" t="s">
        <v>120</v>
      </c>
      <c r="B26" s="29" t="s">
        <v>121</v>
      </c>
      <c r="C26" s="29"/>
      <c r="D26" s="29" t="s">
        <v>118</v>
      </c>
      <c r="E26" s="30" t="s">
        <v>122</v>
      </c>
      <c r="F26" s="33" t="n">
        <v>1</v>
      </c>
      <c r="G26" s="33" t="n">
        <v>0.1668</v>
      </c>
      <c r="H26" s="33"/>
      <c r="I26" s="19" t="n">
        <f aca="false">IF(AND($G26="",$H26=""),"",SUM($G26:$H26))</f>
        <v>0.1668</v>
      </c>
      <c r="J26" s="19" t="n">
        <f aca="false">IF($B26="","",IF($B26="Embalagens",IFERROR(INDEX(Embalagens_CustoUnit,MATCH($A26,Embalagens_Nome,0)),0),IFERROR($I26/$F26,0)))</f>
        <v>0.1668</v>
      </c>
      <c r="K26" s="29" t="s">
        <v>92</v>
      </c>
      <c r="L26" s="19" t="str">
        <f aca="false">IF($B26="Coberturas (30g)",IF($D26="un",$J26,$J26*30),"")</f>
        <v/>
      </c>
    </row>
    <row r="27" customFormat="false" ht="15" hidden="false" customHeight="true" outlineLevel="0" collapsed="false">
      <c r="A27" s="28" t="s">
        <v>123</v>
      </c>
      <c r="B27" s="29" t="s">
        <v>121</v>
      </c>
      <c r="C27" s="29"/>
      <c r="D27" s="29" t="s">
        <v>118</v>
      </c>
      <c r="E27" s="30" t="s">
        <v>122</v>
      </c>
      <c r="F27" s="33" t="n">
        <v>1</v>
      </c>
      <c r="G27" s="33" t="n">
        <v>0.15372</v>
      </c>
      <c r="H27" s="33"/>
      <c r="I27" s="19" t="n">
        <f aca="false">IF(AND($G27="",$H27=""),"",SUM($G27:$H27))</f>
        <v>0.15372</v>
      </c>
      <c r="J27" s="19" t="n">
        <f aca="false">IF($B27="","",IF($B27="Embalagens",IFERROR(INDEX(Embalagens_CustoUnit,MATCH($A27,Embalagens_Nome,0)),0),IFERROR($I27/$F27,0)))</f>
        <v>0.15372</v>
      </c>
      <c r="K27" s="29" t="s">
        <v>92</v>
      </c>
      <c r="L27" s="19" t="str">
        <f aca="false">IF($B27="Coberturas (30g)",IF($D27="un",$J27,$J27*30),"")</f>
        <v/>
      </c>
    </row>
    <row r="28" customFormat="false" ht="15" hidden="false" customHeight="true" outlineLevel="0" collapsed="false">
      <c r="A28" s="28" t="s">
        <v>124</v>
      </c>
      <c r="B28" s="29" t="s">
        <v>121</v>
      </c>
      <c r="C28" s="29"/>
      <c r="D28" s="29" t="s">
        <v>118</v>
      </c>
      <c r="E28" s="30" t="s">
        <v>122</v>
      </c>
      <c r="F28" s="33" t="n">
        <v>1</v>
      </c>
      <c r="G28" s="33" t="n">
        <v>0.24365</v>
      </c>
      <c r="H28" s="33"/>
      <c r="I28" s="19" t="n">
        <f aca="false">IF(AND($G28="",$H28=""),"",SUM($G28:$H28))</f>
        <v>0.24365</v>
      </c>
      <c r="J28" s="19" t="n">
        <f aca="false">IF($B28="","",IF($B28="Embalagens",IFERROR(INDEX(Embalagens_CustoUnit,MATCH($A28,Embalagens_Nome,0)),0),IFERROR($I28/$F28,0)))</f>
        <v>0.24365</v>
      </c>
      <c r="K28" s="29" t="s">
        <v>92</v>
      </c>
      <c r="L28" s="19" t="str">
        <f aca="false">IF($B28="Coberturas (30g)",IF($D28="un",$J28,$J28*30),"")</f>
        <v/>
      </c>
    </row>
    <row r="29" customFormat="false" ht="15" hidden="false" customHeight="true" outlineLevel="0" collapsed="false">
      <c r="A29" s="28" t="s">
        <v>125</v>
      </c>
      <c r="B29" s="29" t="s">
        <v>121</v>
      </c>
      <c r="C29" s="29"/>
      <c r="D29" s="29" t="s">
        <v>118</v>
      </c>
      <c r="E29" s="30" t="s">
        <v>122</v>
      </c>
      <c r="F29" s="33" t="n">
        <v>1</v>
      </c>
      <c r="G29" s="33" t="n">
        <v>0.0823</v>
      </c>
      <c r="H29" s="33"/>
      <c r="I29" s="19" t="n">
        <f aca="false">IF(AND($G29="",$H29=""),"",SUM($G29:$H29))</f>
        <v>0.0823</v>
      </c>
      <c r="J29" s="19" t="n">
        <f aca="false">IF($B29="","",IF($B29="Embalagens",IFERROR(INDEX(Embalagens_CustoUnit,MATCH($A29,Embalagens_Nome,0)),0),IFERROR($I29/$F29,0)))</f>
        <v>0.0823</v>
      </c>
      <c r="K29" s="29" t="s">
        <v>92</v>
      </c>
      <c r="L29" s="19" t="str">
        <f aca="false">IF($B29="Coberturas (30g)",IF($D29="un",$J29,$J29*30),"")</f>
        <v/>
      </c>
    </row>
    <row r="30" customFormat="false" ht="15" hidden="false" customHeight="true" outlineLevel="0" collapsed="false">
      <c r="A30" s="28" t="s">
        <v>126</v>
      </c>
      <c r="B30" s="29" t="s">
        <v>121</v>
      </c>
      <c r="C30" s="29"/>
      <c r="D30" s="29" t="s">
        <v>118</v>
      </c>
      <c r="E30" s="30" t="s">
        <v>122</v>
      </c>
      <c r="F30" s="33" t="n">
        <v>1</v>
      </c>
      <c r="G30" s="33" t="n">
        <v>0.0823</v>
      </c>
      <c r="H30" s="33"/>
      <c r="I30" s="19" t="n">
        <f aca="false">IF(AND($G30="",$H30=""),"",SUM($G30:$H30))</f>
        <v>0.0823</v>
      </c>
      <c r="J30" s="19" t="n">
        <f aca="false">IF($B30="","",IF($B30="Embalagens",IFERROR(INDEX(Embalagens_CustoUnit,MATCH($A30,Embalagens_Nome,0)),0),IFERROR($I30/$F30,0)))</f>
        <v>0.0823</v>
      </c>
      <c r="K30" s="29" t="s">
        <v>92</v>
      </c>
      <c r="L30" s="19" t="str">
        <f aca="false">IF($B30="Coberturas (30g)",IF($D30="un",$J30,$J30*30),"")</f>
        <v/>
      </c>
    </row>
    <row r="31" customFormat="false" ht="15" hidden="false" customHeight="true" outlineLevel="0" collapsed="false">
      <c r="A31" s="28" t="s">
        <v>127</v>
      </c>
      <c r="B31" s="29" t="s">
        <v>121</v>
      </c>
      <c r="C31" s="29"/>
      <c r="D31" s="29" t="s">
        <v>118</v>
      </c>
      <c r="E31" s="30" t="s">
        <v>122</v>
      </c>
      <c r="F31" s="33" t="n">
        <v>1</v>
      </c>
      <c r="G31" s="33" t="n">
        <v>0.0923</v>
      </c>
      <c r="H31" s="33"/>
      <c r="I31" s="19" t="n">
        <f aca="false">IF(AND($G31="",$H31=""),"",SUM($G31:$H31))</f>
        <v>0.0923</v>
      </c>
      <c r="J31" s="19" t="n">
        <f aca="false">IF($B31="","",IF($B31="Embalagens",IFERROR(INDEX(Embalagens_CustoUnit,MATCH($A31,Embalagens_Nome,0)),0),IFERROR($I31/$F31,0)))</f>
        <v>0.0923</v>
      </c>
      <c r="K31" s="29" t="s">
        <v>92</v>
      </c>
      <c r="L31" s="19" t="str">
        <f aca="false">IF($B31="Coberturas (30g)",IF($D31="un",$J31,$J31*30),"")</f>
        <v/>
      </c>
    </row>
    <row r="32" customFormat="false" ht="15" hidden="false" customHeight="true" outlineLevel="0" collapsed="false">
      <c r="A32" s="28" t="s">
        <v>128</v>
      </c>
      <c r="B32" s="29" t="s">
        <v>121</v>
      </c>
      <c r="C32" s="29"/>
      <c r="D32" s="29" t="s">
        <v>118</v>
      </c>
      <c r="E32" s="30" t="s">
        <v>122</v>
      </c>
      <c r="F32" s="33"/>
      <c r="G32" s="33"/>
      <c r="H32" s="33"/>
      <c r="I32" s="19" t="str">
        <f aca="false">IF(AND($G32="",$H32=""),"",SUM($G32:$H32))</f>
        <v/>
      </c>
      <c r="J32" s="19" t="n">
        <f aca="false">IF($B32="","",IF($B32="Embalagens",IFERROR(INDEX(Embalagens_CustoUnit,MATCH($A32,Embalagens_Nome,0)),0),IFERROR($I32/$F32,0)))</f>
        <v>0</v>
      </c>
      <c r="K32" s="29" t="s">
        <v>92</v>
      </c>
      <c r="L32" s="19" t="str">
        <f aca="false">IF($B32="Coberturas (30g)",IF($D32="un",$J32,$J32*30),"")</f>
        <v/>
      </c>
    </row>
    <row r="33" customFormat="false" ht="15" hidden="false" customHeight="true" outlineLevel="0" collapsed="false">
      <c r="A33" s="28" t="s">
        <v>129</v>
      </c>
      <c r="B33" s="29" t="s">
        <v>121</v>
      </c>
      <c r="C33" s="29"/>
      <c r="D33" s="29" t="s">
        <v>118</v>
      </c>
      <c r="E33" s="30" t="s">
        <v>122</v>
      </c>
      <c r="F33" s="33"/>
      <c r="G33" s="33"/>
      <c r="H33" s="33"/>
      <c r="I33" s="19" t="str">
        <f aca="false">IF(AND($G33="",$H33=""),"",SUM($G33:$H33))</f>
        <v/>
      </c>
      <c r="J33" s="19" t="n">
        <f aca="false">IF($B33="","",IF($B33="Embalagens",IFERROR(INDEX(Embalagens_CustoUnit,MATCH($A33,Embalagens_Nome,0)),0),IFERROR($I33/$F33,0)))</f>
        <v>0</v>
      </c>
      <c r="K33" s="29" t="s">
        <v>92</v>
      </c>
      <c r="L33" s="19" t="str">
        <f aca="false">IF($B33="Coberturas (30g)",IF($D33="un",$J33,$J33*30),"")</f>
        <v/>
      </c>
    </row>
    <row r="34" customFormat="false" ht="15" hidden="false" customHeight="true" outlineLevel="0" collapsed="false">
      <c r="A34" s="28" t="s">
        <v>130</v>
      </c>
      <c r="B34" s="29" t="s">
        <v>121</v>
      </c>
      <c r="C34" s="29"/>
      <c r="D34" s="29" t="s">
        <v>118</v>
      </c>
      <c r="E34" s="30" t="s">
        <v>122</v>
      </c>
      <c r="F34" s="33"/>
      <c r="G34" s="33"/>
      <c r="H34" s="33"/>
      <c r="I34" s="19" t="str">
        <f aca="false">IF(AND($G34="",$H34=""),"",SUM($G34:$H34))</f>
        <v/>
      </c>
      <c r="J34" s="19" t="n">
        <f aca="false">IF($B34="","",IF($B34="Embalagens",IFERROR(INDEX(Embalagens_CustoUnit,MATCH($A34,Embalagens_Nome,0)),0),IFERROR($I34/$F34,0)))</f>
        <v>0</v>
      </c>
      <c r="K34" s="29" t="s">
        <v>92</v>
      </c>
      <c r="L34" s="19" t="str">
        <f aca="false">IF($B34="Coberturas (30g)",IF($D34="un",$J34,$J34*30),"")</f>
        <v/>
      </c>
    </row>
    <row r="35" customFormat="false" ht="15" hidden="false" customHeight="true" outlineLevel="0" collapsed="false">
      <c r="A35" s="28" t="s">
        <v>131</v>
      </c>
      <c r="B35" s="29" t="s">
        <v>132</v>
      </c>
      <c r="C35" s="29"/>
      <c r="D35" s="29" t="s">
        <v>118</v>
      </c>
      <c r="E35" s="30" t="s">
        <v>133</v>
      </c>
      <c r="F35" s="31" t="n">
        <v>1</v>
      </c>
      <c r="G35" s="32" t="n">
        <v>12</v>
      </c>
      <c r="H35" s="32" t="n">
        <v>0</v>
      </c>
      <c r="I35" s="19" t="n">
        <f aca="false">IF(AND($G35="",$H35=""),"",SUM($G35:$H35))</f>
        <v>12</v>
      </c>
      <c r="J35" s="19" t="n">
        <f aca="false">IF($B35="","",IF($B35="Embalagens",IFERROR(INDEX(Embalagens_CustoUnit,MATCH($A35,Embalagens_Nome,0)),0),IFERROR($I35/$F35,0)))</f>
        <v>12</v>
      </c>
      <c r="K35" s="29" t="s">
        <v>92</v>
      </c>
      <c r="L35" s="19" t="str">
        <f aca="false">IF($B35="Coberturas (30g)",IF($D35="un",$J35,$J35*30),"")</f>
        <v/>
      </c>
    </row>
    <row r="36" customFormat="false" ht="15" hidden="false" customHeight="true" outlineLevel="0" collapsed="false">
      <c r="A36" s="28" t="s">
        <v>134</v>
      </c>
      <c r="B36" s="29" t="s">
        <v>132</v>
      </c>
      <c r="C36" s="29"/>
      <c r="D36" s="29" t="s">
        <v>118</v>
      </c>
      <c r="E36" s="30" t="s">
        <v>133</v>
      </c>
      <c r="F36" s="31" t="n">
        <v>1</v>
      </c>
      <c r="G36" s="32" t="n">
        <v>16</v>
      </c>
      <c r="H36" s="32" t="n">
        <v>0</v>
      </c>
      <c r="I36" s="19" t="n">
        <f aca="false">IF(AND($G36="",$H36=""),"",SUM($G36:$H36))</f>
        <v>16</v>
      </c>
      <c r="J36" s="19" t="n">
        <f aca="false">IF($B36="","",IF($B36="Embalagens",IFERROR(INDEX(Embalagens_CustoUnit,MATCH($A36,Embalagens_Nome,0)),0),IFERROR($I36/$F36,0)))</f>
        <v>16</v>
      </c>
      <c r="K36" s="29" t="s">
        <v>92</v>
      </c>
      <c r="L36" s="19" t="str">
        <f aca="false">IF($B36="Coberturas (30g)",IF($D36="un",$J36,$J36*30),"")</f>
        <v/>
      </c>
    </row>
    <row r="37" customFormat="false" ht="15" hidden="false" customHeight="true" outlineLevel="0" collapsed="false">
      <c r="A37" s="28" t="s">
        <v>135</v>
      </c>
      <c r="B37" s="29" t="s">
        <v>132</v>
      </c>
      <c r="C37" s="29"/>
      <c r="D37" s="29" t="s">
        <v>118</v>
      </c>
      <c r="E37" s="30" t="s">
        <v>133</v>
      </c>
      <c r="F37" s="31" t="n">
        <v>1</v>
      </c>
      <c r="G37" s="32" t="n">
        <v>10</v>
      </c>
      <c r="H37" s="32" t="n">
        <v>0</v>
      </c>
      <c r="I37" s="19" t="n">
        <f aca="false">IF(AND($G37="",$H37=""),"",SUM($G37:$H37))</f>
        <v>10</v>
      </c>
      <c r="J37" s="19" t="n">
        <f aca="false">IF($B37="","",IF($B37="Embalagens",IFERROR(INDEX(Embalagens_CustoUnit,MATCH($A37,Embalagens_Nome,0)),0),IFERROR($I37/$F37,0)))</f>
        <v>10</v>
      </c>
      <c r="K37" s="29" t="s">
        <v>92</v>
      </c>
      <c r="L37" s="19" t="str">
        <f aca="false">IF($B37="Coberturas (30g)",IF($D37="un",$J37,$J37*30),"")</f>
        <v/>
      </c>
    </row>
    <row r="38" customFormat="false" ht="15" hidden="false" customHeight="true" outlineLevel="0" collapsed="false">
      <c r="A38" s="28" t="s">
        <v>136</v>
      </c>
      <c r="B38" s="29" t="s">
        <v>132</v>
      </c>
      <c r="C38" s="29"/>
      <c r="D38" s="29" t="s">
        <v>118</v>
      </c>
      <c r="E38" s="30" t="s">
        <v>133</v>
      </c>
      <c r="F38" s="31" t="n">
        <v>1</v>
      </c>
      <c r="G38" s="32" t="n">
        <v>15</v>
      </c>
      <c r="H38" s="32" t="n">
        <v>0</v>
      </c>
      <c r="I38" s="19" t="n">
        <f aca="false">IF(AND($G38="",$H38=""),"",SUM($G38:$H38))</f>
        <v>15</v>
      </c>
      <c r="J38" s="19" t="n">
        <f aca="false">IF($B38="","",IF($B38="Embalagens",IFERROR(INDEX(Embalagens_CustoUnit,MATCH($A38,Embalagens_Nome,0)),0),IFERROR($I38/$F38,0)))</f>
        <v>15</v>
      </c>
      <c r="K38" s="29" t="s">
        <v>92</v>
      </c>
      <c r="L38" s="19" t="str">
        <f aca="false">IF($B38="Coberturas (30g)",IF($D38="un",$J38,$J38*30),"")</f>
        <v/>
      </c>
    </row>
    <row r="39" customFormat="false" ht="15" hidden="false" customHeight="true" outlineLevel="0" collapsed="false">
      <c r="A39" s="28" t="s">
        <v>137</v>
      </c>
      <c r="B39" s="29" t="s">
        <v>132</v>
      </c>
      <c r="C39" s="29"/>
      <c r="D39" s="29" t="s">
        <v>118</v>
      </c>
      <c r="E39" s="30" t="s">
        <v>133</v>
      </c>
      <c r="F39" s="31" t="n">
        <v>1</v>
      </c>
      <c r="G39" s="32" t="n">
        <v>10</v>
      </c>
      <c r="H39" s="32" t="n">
        <v>0</v>
      </c>
      <c r="I39" s="19" t="n">
        <f aca="false">IF(AND($G39="",$H39=""),"",SUM($G39:$H39))</f>
        <v>10</v>
      </c>
      <c r="J39" s="19" t="n">
        <f aca="false">IF($B39="","",IF($B39="Embalagens",IFERROR(INDEX(Embalagens_CustoUnit,MATCH($A39,Embalagens_Nome,0)),0),IFERROR($I39/$F39,0)))</f>
        <v>10</v>
      </c>
      <c r="K39" s="29" t="s">
        <v>92</v>
      </c>
      <c r="L39" s="19" t="str">
        <f aca="false">IF($B39="Coberturas (30g)",IF($D39="un",$J39,$J39*30),"")</f>
        <v/>
      </c>
    </row>
    <row r="40" customFormat="false" ht="15" hidden="false" customHeight="true" outlineLevel="0" collapsed="false">
      <c r="A40" s="28" t="s">
        <v>138</v>
      </c>
      <c r="B40" s="29" t="s">
        <v>132</v>
      </c>
      <c r="C40" s="29"/>
      <c r="D40" s="29" t="s">
        <v>118</v>
      </c>
      <c r="E40" s="30" t="s">
        <v>133</v>
      </c>
      <c r="F40" s="31" t="n">
        <v>1</v>
      </c>
      <c r="G40" s="32" t="n">
        <v>15</v>
      </c>
      <c r="H40" s="32" t="n">
        <v>0</v>
      </c>
      <c r="I40" s="19" t="n">
        <f aca="false">IF(AND($G40="",$H40=""),"",SUM($G40:$H40))</f>
        <v>15</v>
      </c>
      <c r="J40" s="19" t="n">
        <f aca="false">IF($B40="","",IF($B40="Embalagens",IFERROR(INDEX(Embalagens_CustoUnit,MATCH($A40,Embalagens_Nome,0)),0),IFERROR($I40/$F40,0)))</f>
        <v>15</v>
      </c>
      <c r="K40" s="29" t="s">
        <v>92</v>
      </c>
      <c r="L40" s="19" t="str">
        <f aca="false">IF($B40="Coberturas (30g)",IF($D40="un",$J40,$J40*30),"")</f>
        <v/>
      </c>
    </row>
    <row r="41" customFormat="false" ht="15" hidden="false" customHeight="true" outlineLevel="0" collapsed="false">
      <c r="A41" s="28" t="s">
        <v>139</v>
      </c>
      <c r="B41" s="29" t="s">
        <v>132</v>
      </c>
      <c r="C41" s="29"/>
      <c r="D41" s="29" t="s">
        <v>118</v>
      </c>
      <c r="E41" s="30" t="s">
        <v>133</v>
      </c>
      <c r="F41" s="31" t="n">
        <v>1</v>
      </c>
      <c r="G41" s="32" t="n">
        <v>10</v>
      </c>
      <c r="H41" s="32" t="n">
        <v>0</v>
      </c>
      <c r="I41" s="19" t="n">
        <f aca="false">IF(AND($G41="",$H41=""),"",SUM($G41:$H41))</f>
        <v>10</v>
      </c>
      <c r="J41" s="19" t="n">
        <f aca="false">IF($B41="","",IF($B41="Embalagens",IFERROR(INDEX(Embalagens_CustoUnit,MATCH($A41,Embalagens_Nome,0)),0),IFERROR($I41/$F41,0)))</f>
        <v>10</v>
      </c>
      <c r="K41" s="29" t="s">
        <v>92</v>
      </c>
      <c r="L41" s="19" t="str">
        <f aca="false">IF($B41="Coberturas (30g)",IF($D41="un",$J41,$J41*30),"")</f>
        <v/>
      </c>
    </row>
    <row r="42" customFormat="false" ht="15" hidden="false" customHeight="true" outlineLevel="0" collapsed="false">
      <c r="A42" s="28" t="s">
        <v>140</v>
      </c>
      <c r="B42" s="29" t="s">
        <v>132</v>
      </c>
      <c r="C42" s="29"/>
      <c r="D42" s="29" t="s">
        <v>118</v>
      </c>
      <c r="E42" s="30" t="s">
        <v>133</v>
      </c>
      <c r="F42" s="31" t="n">
        <v>1</v>
      </c>
      <c r="G42" s="32" t="n">
        <v>15</v>
      </c>
      <c r="H42" s="32" t="n">
        <v>0</v>
      </c>
      <c r="I42" s="19" t="n">
        <f aca="false">IF(AND($G42="",$H42=""),"",SUM($G42:$H42))</f>
        <v>15</v>
      </c>
      <c r="J42" s="19" t="n">
        <f aca="false">IF($B42="","",IF($B42="Embalagens",IFERROR(INDEX(Embalagens_CustoUnit,MATCH($A42,Embalagens_Nome,0)),0),IFERROR($I42/$F42,0)))</f>
        <v>15</v>
      </c>
      <c r="K42" s="29" t="s">
        <v>92</v>
      </c>
      <c r="L42" s="19" t="str">
        <f aca="false">IF($B42="Coberturas (30g)",IF($D42="un",$J42,$J42*30),"")</f>
        <v/>
      </c>
    </row>
    <row r="43" customFormat="false" ht="15" hidden="false" customHeight="true" outlineLevel="0" collapsed="false">
      <c r="A43" s="28" t="s">
        <v>141</v>
      </c>
      <c r="B43" s="29" t="s">
        <v>142</v>
      </c>
      <c r="C43" s="29"/>
      <c r="D43" s="29" t="s">
        <v>118</v>
      </c>
      <c r="E43" s="30" t="s">
        <v>119</v>
      </c>
      <c r="F43" s="31" t="n">
        <v>1</v>
      </c>
      <c r="G43" s="32" t="n">
        <v>0.0938</v>
      </c>
      <c r="H43" s="32"/>
      <c r="I43" s="19" t="n">
        <f aca="false">IF(AND($G43="",$H43=""),"",SUM($G43:$H43))</f>
        <v>0.0938</v>
      </c>
      <c r="J43" s="19" t="n">
        <f aca="false">IF($B43="","",IF($B43="Embalagens",IFERROR(INDEX(Embalagens_CustoUnit,MATCH($A43,Embalagens_Nome,0)),0),IFERROR($I43/$F43,0)))</f>
        <v>0.0938</v>
      </c>
      <c r="K43" s="29" t="s">
        <v>92</v>
      </c>
      <c r="L43" s="19" t="str">
        <f aca="false">IF($B43="Coberturas (30g)",IF($D43="un",$J43,$J43*30),"")</f>
        <v/>
      </c>
    </row>
    <row r="44" customFormat="false" ht="15" hidden="false" customHeight="true" outlineLevel="0" collapsed="false">
      <c r="A44" s="28" t="s">
        <v>143</v>
      </c>
      <c r="B44" s="29" t="s">
        <v>142</v>
      </c>
      <c r="C44" s="29"/>
      <c r="D44" s="29" t="s">
        <v>118</v>
      </c>
      <c r="E44" s="30" t="s">
        <v>119</v>
      </c>
      <c r="F44" s="31"/>
      <c r="G44" s="32"/>
      <c r="H44" s="32"/>
      <c r="I44" s="19" t="str">
        <f aca="false">IF(AND($G44="",$H44=""),"",SUM($G44:$H44))</f>
        <v/>
      </c>
      <c r="J44" s="19" t="n">
        <f aca="false">IF($B44="","",IF($B44="Embalagens",IFERROR(INDEX(Embalagens_CustoUnit,MATCH($A44,Embalagens_Nome,0)),0),IFERROR($I44/$F44,0)))</f>
        <v>0</v>
      </c>
      <c r="K44" s="29" t="s">
        <v>92</v>
      </c>
      <c r="L44" s="19" t="str">
        <f aca="false">IF($B44="Coberturas (30g)",IF($D44="un",$J44,$J44*30),"")</f>
        <v/>
      </c>
    </row>
    <row r="45" customFormat="false" ht="15" hidden="false" customHeight="true" outlineLevel="0" collapsed="false">
      <c r="A45" s="28" t="s">
        <v>144</v>
      </c>
      <c r="B45" s="29" t="s">
        <v>142</v>
      </c>
      <c r="C45" s="29"/>
      <c r="D45" s="29" t="s">
        <v>118</v>
      </c>
      <c r="E45" s="30" t="s">
        <v>119</v>
      </c>
      <c r="F45" s="31"/>
      <c r="G45" s="32"/>
      <c r="H45" s="32"/>
      <c r="I45" s="19" t="str">
        <f aca="false">IF(AND($G45="",$H45=""),"",SUM($G45:$H45))</f>
        <v/>
      </c>
      <c r="J45" s="19" t="n">
        <f aca="false">IF($B45="","",IF($B45="Embalagens",IFERROR(INDEX(Embalagens_CustoUnit,MATCH($A45,Embalagens_Nome,0)),0),IFERROR($I45/$F45,0)))</f>
        <v>0</v>
      </c>
      <c r="K45" s="29" t="s">
        <v>92</v>
      </c>
      <c r="L45" s="19" t="str">
        <f aca="false">IF($B45="Coberturas (30g)",IF($D45="un",$J45,$J45*30),"")</f>
        <v/>
      </c>
    </row>
    <row r="46" customFormat="false" ht="15" hidden="false" customHeight="true" outlineLevel="0" collapsed="false">
      <c r="A46" s="28" t="s">
        <v>145</v>
      </c>
      <c r="B46" s="29" t="s">
        <v>146</v>
      </c>
      <c r="C46" s="29"/>
      <c r="D46" s="29" t="s">
        <v>118</v>
      </c>
      <c r="E46" s="30" t="s">
        <v>119</v>
      </c>
      <c r="F46" s="31"/>
      <c r="G46" s="32"/>
      <c r="H46" s="32"/>
      <c r="I46" s="19" t="str">
        <f aca="false">IF(AND($G46="",$H46=""),"",SUM($G46:$H46))</f>
        <v/>
      </c>
      <c r="J46" s="19" t="n">
        <f aca="false">IF($B46="","",IF($B46="Embalagens",IFERROR(INDEX(Embalagens_CustoUnit,MATCH($A46,Embalagens_Nome,0)),0),IFERROR($I46/$F46,0)))</f>
        <v>0</v>
      </c>
      <c r="K46" s="29" t="s">
        <v>92</v>
      </c>
      <c r="L46" s="19" t="str">
        <f aca="false">IF($B46="Coberturas (30g)",IF($D46="un",$J46,$J46*30),"")</f>
        <v/>
      </c>
    </row>
    <row r="47" customFormat="false" ht="15" hidden="false" customHeight="true" outlineLevel="0" collapsed="false">
      <c r="A47" s="28" t="s">
        <v>147</v>
      </c>
      <c r="B47" s="29" t="s">
        <v>146</v>
      </c>
      <c r="C47" s="29"/>
      <c r="D47" s="29" t="s">
        <v>118</v>
      </c>
      <c r="E47" s="30" t="s">
        <v>119</v>
      </c>
      <c r="F47" s="31"/>
      <c r="G47" s="32"/>
      <c r="H47" s="32"/>
      <c r="I47" s="19" t="str">
        <f aca="false">IF(AND($G47="",$H47=""),"",SUM($G47:$H47))</f>
        <v/>
      </c>
      <c r="J47" s="19" t="n">
        <f aca="false">IF($B47="","",IF($B47="Embalagens",IFERROR(INDEX(Embalagens_CustoUnit,MATCH($A47,Embalagens_Nome,0)),0),IFERROR($I47/$F47,0)))</f>
        <v>0</v>
      </c>
      <c r="K47" s="29" t="s">
        <v>92</v>
      </c>
      <c r="L47" s="19" t="str">
        <f aca="false">IF($B47="Coberturas (30g)",IF($D47="un",$J47,$J47*30),"")</f>
        <v/>
      </c>
    </row>
    <row r="48" customFormat="false" ht="15" hidden="false" customHeight="true" outlineLevel="0" collapsed="false">
      <c r="A48" s="28" t="s">
        <v>148</v>
      </c>
      <c r="B48" s="29" t="s">
        <v>146</v>
      </c>
      <c r="C48" s="29"/>
      <c r="D48" s="29" t="s">
        <v>118</v>
      </c>
      <c r="E48" s="30" t="s">
        <v>119</v>
      </c>
      <c r="F48" s="31"/>
      <c r="G48" s="32"/>
      <c r="H48" s="32"/>
      <c r="I48" s="19" t="str">
        <f aca="false">IF(AND($G48="",$H48=""),"",SUM($G48:$H48))</f>
        <v/>
      </c>
      <c r="J48" s="19" t="n">
        <f aca="false">IF($B48="","",IF($B48="Embalagens",IFERROR(INDEX(Embalagens_CustoUnit,MATCH($A48,Embalagens_Nome,0)),0),IFERROR($I48/$F48,0)))</f>
        <v>0</v>
      </c>
      <c r="K48" s="29" t="s">
        <v>92</v>
      </c>
      <c r="L48" s="19" t="str">
        <f aca="false">IF($B48="Coberturas (30g)",IF($D48="un",$J48,$J48*30),"")</f>
        <v/>
      </c>
    </row>
    <row r="49" customFormat="false" ht="15" hidden="false" customHeight="true" outlineLevel="0" collapsed="false">
      <c r="A49" s="28" t="s">
        <v>149</v>
      </c>
      <c r="B49" s="29" t="s">
        <v>146</v>
      </c>
      <c r="C49" s="29"/>
      <c r="D49" s="29" t="s">
        <v>118</v>
      </c>
      <c r="E49" s="30" t="s">
        <v>119</v>
      </c>
      <c r="F49" s="31"/>
      <c r="G49" s="32"/>
      <c r="H49" s="32"/>
      <c r="I49" s="19" t="str">
        <f aca="false">IF(AND($G49="",$H49=""),"",SUM($G49:$H49))</f>
        <v/>
      </c>
      <c r="J49" s="19" t="n">
        <f aca="false">IF($B49="","",IF($B49="Embalagens",IFERROR(INDEX(Embalagens_CustoUnit,MATCH($A49,Embalagens_Nome,0)),0),IFERROR($I49/$F49,0)))</f>
        <v>0</v>
      </c>
      <c r="K49" s="29" t="s">
        <v>92</v>
      </c>
      <c r="L49" s="19" t="str">
        <f aca="false">IF($B49="Coberturas (30g)",IF($D49="un",$J49,$J49*30),"")</f>
        <v/>
      </c>
    </row>
    <row r="50" customFormat="false" ht="15" hidden="false" customHeight="true" outlineLevel="0" collapsed="false">
      <c r="A50" s="28" t="s">
        <v>150</v>
      </c>
      <c r="B50" s="29" t="s">
        <v>146</v>
      </c>
      <c r="C50" s="29"/>
      <c r="D50" s="29" t="s">
        <v>118</v>
      </c>
      <c r="E50" s="30" t="s">
        <v>119</v>
      </c>
      <c r="F50" s="31"/>
      <c r="G50" s="32"/>
      <c r="H50" s="32"/>
      <c r="I50" s="19" t="str">
        <f aca="false">IF(AND($G50="",$H50=""),"",SUM($G50:$H50))</f>
        <v/>
      </c>
      <c r="J50" s="19" t="n">
        <f aca="false">IF($B50="","",IF($B50="Embalagens",IFERROR(INDEX(Embalagens_CustoUnit,MATCH($A50,Embalagens_Nome,0)),0),IFERROR($I50/$F50,0)))</f>
        <v>0</v>
      </c>
      <c r="K50" s="29" t="s">
        <v>92</v>
      </c>
      <c r="L50" s="19" t="str">
        <f aca="false">IF($B50="Coberturas (30g)",IF($D50="un",$J50,$J50*30),"")</f>
        <v/>
      </c>
    </row>
    <row r="51" customFormat="false" ht="15" hidden="false" customHeight="true" outlineLevel="0" collapsed="false">
      <c r="A51" s="28" t="s">
        <v>151</v>
      </c>
      <c r="B51" s="29" t="s">
        <v>146</v>
      </c>
      <c r="C51" s="29"/>
      <c r="D51" s="29" t="s">
        <v>118</v>
      </c>
      <c r="E51" s="30" t="s">
        <v>119</v>
      </c>
      <c r="F51" s="31"/>
      <c r="G51" s="32"/>
      <c r="H51" s="32"/>
      <c r="I51" s="19" t="str">
        <f aca="false">IF(AND($G51="",$H51=""),"",SUM($G51:$H51))</f>
        <v/>
      </c>
      <c r="J51" s="19" t="n">
        <f aca="false">IF($B51="","",IF($B51="Embalagens",IFERROR(INDEX(Embalagens_CustoUnit,MATCH($A51,Embalagens_Nome,0)),0),IFERROR($I51/$F51,0)))</f>
        <v>0</v>
      </c>
      <c r="K51" s="29" t="s">
        <v>92</v>
      </c>
      <c r="L51" s="19" t="str">
        <f aca="false">IF($B51="Coberturas (30g)",IF($D51="un",$J51,$J51*30),"")</f>
        <v/>
      </c>
    </row>
    <row r="52" customFormat="false" ht="15" hidden="false" customHeight="true" outlineLevel="0" collapsed="false">
      <c r="A52" s="28" t="s">
        <v>152</v>
      </c>
      <c r="B52" s="29" t="s">
        <v>146</v>
      </c>
      <c r="C52" s="29"/>
      <c r="D52" s="29" t="s">
        <v>118</v>
      </c>
      <c r="E52" s="30" t="s">
        <v>119</v>
      </c>
      <c r="F52" s="31"/>
      <c r="G52" s="32"/>
      <c r="H52" s="32"/>
      <c r="I52" s="19" t="str">
        <f aca="false">IF(AND($G52="",$H52=""),"",SUM($G52:$H52))</f>
        <v/>
      </c>
      <c r="J52" s="19" t="n">
        <f aca="false">IF($B52="","",IF($B52="Embalagens",IFERROR(INDEX(Embalagens_CustoUnit,MATCH($A52,Embalagens_Nome,0)),0),IFERROR($I52/$F52,0)))</f>
        <v>0</v>
      </c>
      <c r="K52" s="29" t="s">
        <v>92</v>
      </c>
      <c r="L52" s="19" t="str">
        <f aca="false">IF($B52="Coberturas (30g)",IF($D52="un",$J52,$J52*30),"")</f>
        <v/>
      </c>
    </row>
    <row r="53" customFormat="false" ht="15" hidden="false" customHeight="true" outlineLevel="0" collapsed="false">
      <c r="A53" s="28" t="s">
        <v>153</v>
      </c>
      <c r="B53" s="29" t="s">
        <v>146</v>
      </c>
      <c r="C53" s="29"/>
      <c r="D53" s="29" t="s">
        <v>118</v>
      </c>
      <c r="E53" s="30" t="s">
        <v>119</v>
      </c>
      <c r="F53" s="31"/>
      <c r="G53" s="32"/>
      <c r="H53" s="32"/>
      <c r="I53" s="19" t="str">
        <f aca="false">IF(AND($G53="",$H53=""),"",SUM($G53:$H53))</f>
        <v/>
      </c>
      <c r="J53" s="19" t="n">
        <f aca="false">IF($B53="","",IF($B53="Embalagens",IFERROR(INDEX(Embalagens_CustoUnit,MATCH($A53,Embalagens_Nome,0)),0),IFERROR($I53/$F53,0)))</f>
        <v>0</v>
      </c>
      <c r="K53" s="29" t="s">
        <v>92</v>
      </c>
      <c r="L53" s="19" t="str">
        <f aca="false">IF($B53="Coberturas (30g)",IF($D53="un",$J53,$J53*30),"")</f>
        <v/>
      </c>
    </row>
    <row r="54" customFormat="false" ht="15" hidden="false" customHeight="true" outlineLevel="0" collapsed="false">
      <c r="A54" s="28" t="s">
        <v>154</v>
      </c>
      <c r="B54" s="29" t="s">
        <v>155</v>
      </c>
      <c r="C54" s="29"/>
      <c r="D54" s="29" t="s">
        <v>90</v>
      </c>
      <c r="E54" s="30" t="s">
        <v>156</v>
      </c>
      <c r="F54" s="31"/>
      <c r="G54" s="32"/>
      <c r="H54" s="32"/>
      <c r="I54" s="19" t="str">
        <f aca="false">IF(AND($G54="",$H54=""),"",SUM($G54:$H54))</f>
        <v/>
      </c>
      <c r="J54" s="19" t="n">
        <f aca="false">IF($B54="","",IF($B54="Embalagens",IFERROR(INDEX(Embalagens_CustoUnit,MATCH($A54,Embalagens_Nome,0)),0),IFERROR($I54/$F54,0)))</f>
        <v>0</v>
      </c>
      <c r="K54" s="29" t="s">
        <v>92</v>
      </c>
      <c r="L54" s="19" t="str">
        <f aca="false">IF($B54="Coberturas (30g)",IF($D54="un",$J54,$J54*30),"")</f>
        <v/>
      </c>
    </row>
    <row r="55" customFormat="false" ht="15" hidden="false" customHeight="true" outlineLevel="0" collapsed="false">
      <c r="A55" s="28" t="s">
        <v>157</v>
      </c>
      <c r="B55" s="29" t="s">
        <v>155</v>
      </c>
      <c r="C55" s="29"/>
      <c r="D55" s="29" t="s">
        <v>90</v>
      </c>
      <c r="E55" s="30" t="s">
        <v>156</v>
      </c>
      <c r="F55" s="31"/>
      <c r="G55" s="32"/>
      <c r="H55" s="32"/>
      <c r="I55" s="19" t="str">
        <f aca="false">IF(AND($G55="",$H55=""),"",SUM($G55:$H55))</f>
        <v/>
      </c>
      <c r="J55" s="19" t="n">
        <f aca="false">IF($B55="","",IF($B55="Embalagens",IFERROR(INDEX(Embalagens_CustoUnit,MATCH($A55,Embalagens_Nome,0)),0),IFERROR($I55/$F55,0)))</f>
        <v>0</v>
      </c>
      <c r="K55" s="29" t="s">
        <v>92</v>
      </c>
      <c r="L55" s="19" t="str">
        <f aca="false">IF($B55="Coberturas (30g)",IF($D55="un",$J55,$J55*30),"")</f>
        <v/>
      </c>
    </row>
    <row r="56" customFormat="false" ht="15" hidden="false" customHeight="true" outlineLevel="0" collapsed="false">
      <c r="A56" s="33"/>
      <c r="B56" s="33"/>
      <c r="C56" s="33"/>
      <c r="D56" s="33"/>
      <c r="E56" s="33"/>
      <c r="F56" s="33"/>
      <c r="G56" s="33"/>
      <c r="H56" s="33"/>
      <c r="I56" s="19" t="str">
        <f aca="false">IF(AND($G56="",$H56=""),"",SUM($G56:$H56))</f>
        <v/>
      </c>
      <c r="J56" s="19" t="str">
        <f aca="false">IF($B56="","",IF($B56="Embalagens",IFERROR(INDEX(Embalagens_CustoUnit,MATCH($A56,Embalagens_Nome,0)),0),IFERROR($I56/$F56,0)))</f>
        <v/>
      </c>
      <c r="K56" s="29" t="s">
        <v>92</v>
      </c>
      <c r="L56" s="19" t="str">
        <f aca="false">IF($B56="Coberturas (30g)",IF($D56="un",$J56,$J56*30),"")</f>
        <v/>
      </c>
    </row>
    <row r="57" customFormat="false" ht="15" hidden="false" customHeight="true" outlineLevel="0" collapsed="false">
      <c r="A57" s="33"/>
      <c r="B57" s="33"/>
      <c r="C57" s="33"/>
      <c r="D57" s="33"/>
      <c r="E57" s="33"/>
      <c r="F57" s="33"/>
      <c r="G57" s="33"/>
      <c r="H57" s="33"/>
      <c r="I57" s="19" t="str">
        <f aca="false">IF(AND($G57="",$H57=""),"",SUM($G57:$H57))</f>
        <v/>
      </c>
      <c r="J57" s="19" t="str">
        <f aca="false">IF($B57="","",IF($B57="Embalagens",IFERROR(INDEX(Embalagens_CustoUnit,MATCH($A57,Embalagens_Nome,0)),0),IFERROR($I57/$F57,0)))</f>
        <v/>
      </c>
      <c r="K57" s="29" t="s">
        <v>92</v>
      </c>
      <c r="L57" s="19" t="str">
        <f aca="false">IF($B57="Coberturas (30g)",IF($D57="un",$J57,$J57*30),"")</f>
        <v/>
      </c>
    </row>
    <row r="58" customFormat="false" ht="15" hidden="false" customHeight="true" outlineLevel="0" collapsed="false">
      <c r="A58" s="33"/>
      <c r="B58" s="33"/>
      <c r="C58" s="33"/>
      <c r="D58" s="33"/>
      <c r="E58" s="33"/>
      <c r="F58" s="33"/>
      <c r="G58" s="33"/>
      <c r="H58" s="33"/>
      <c r="I58" s="19" t="str">
        <f aca="false">IF(AND($G58="",$H58=""),"",SUM($G58:$H58))</f>
        <v/>
      </c>
      <c r="J58" s="19" t="str">
        <f aca="false">IF($B58="","",IF($B58="Embalagens",IFERROR(INDEX(Embalagens_CustoUnit,MATCH($A58,Embalagens_Nome,0)),0),IFERROR($I58/$F58,0)))</f>
        <v/>
      </c>
      <c r="K58" s="29" t="s">
        <v>92</v>
      </c>
      <c r="L58" s="19" t="str">
        <f aca="false">IF($B58="Coberturas (30g)",IF($D58="un",$J58,$J58*30),"")</f>
        <v/>
      </c>
    </row>
    <row r="59" customFormat="false" ht="15" hidden="false" customHeight="true" outlineLevel="0" collapsed="false">
      <c r="A59" s="33"/>
      <c r="B59" s="33"/>
      <c r="C59" s="33"/>
      <c r="D59" s="33"/>
      <c r="E59" s="33"/>
      <c r="F59" s="33"/>
      <c r="G59" s="33"/>
      <c r="H59" s="33"/>
      <c r="I59" s="19" t="str">
        <f aca="false">IF(AND($G59="",$H59=""),"",SUM($G59:$H59))</f>
        <v/>
      </c>
      <c r="J59" s="19" t="str">
        <f aca="false">IF($B59="","",IF($B59="Embalagens",IFERROR(INDEX(Embalagens_CustoUnit,MATCH($A59,Embalagens_Nome,0)),0),IFERROR($I59/$F59,0)))</f>
        <v/>
      </c>
      <c r="K59" s="29" t="s">
        <v>92</v>
      </c>
      <c r="L59" s="19" t="str">
        <f aca="false">IF($B59="Coberturas (30g)",IF($D59="un",$J59,$J59*30),"")</f>
        <v/>
      </c>
    </row>
    <row r="60" customFormat="false" ht="15" hidden="false" customHeight="true" outlineLevel="0" collapsed="false">
      <c r="A60" s="33"/>
      <c r="B60" s="33"/>
      <c r="C60" s="33"/>
      <c r="D60" s="33"/>
      <c r="E60" s="33"/>
      <c r="F60" s="33"/>
      <c r="G60" s="33"/>
      <c r="H60" s="33"/>
      <c r="I60" s="19" t="str">
        <f aca="false">IF(AND($G60="",$H60=""),"",SUM($G60:$H60))</f>
        <v/>
      </c>
      <c r="J60" s="19" t="str">
        <f aca="false">IF($B60="","",IF($B60="Embalagens",IFERROR(INDEX(Embalagens_CustoUnit,MATCH($A60,Embalagens_Nome,0)),0),IFERROR($I60/$F60,0)))</f>
        <v/>
      </c>
      <c r="K60" s="29" t="s">
        <v>92</v>
      </c>
      <c r="L60" s="19" t="str">
        <f aca="false">IF($B60="Coberturas (30g)",IF($D60="un",$J60,$J60*30),"")</f>
        <v/>
      </c>
    </row>
    <row r="61" customFormat="false" ht="15" hidden="false" customHeight="true" outlineLevel="0" collapsed="false">
      <c r="A61" s="33"/>
      <c r="B61" s="33"/>
      <c r="C61" s="33"/>
      <c r="D61" s="33"/>
      <c r="E61" s="33"/>
      <c r="F61" s="33"/>
      <c r="G61" s="33"/>
      <c r="H61" s="33"/>
      <c r="I61" s="19" t="str">
        <f aca="false">IF(AND($G61="",$H61=""),"",SUM($G61:$H61))</f>
        <v/>
      </c>
      <c r="J61" s="19" t="str">
        <f aca="false">IF($B61="","",IF($B61="Embalagens",IFERROR(INDEX(Embalagens_CustoUnit,MATCH($A61,Embalagens_Nome,0)),0),IFERROR($I61/$F61,0)))</f>
        <v/>
      </c>
      <c r="K61" s="29" t="s">
        <v>92</v>
      </c>
      <c r="L61" s="19" t="str">
        <f aca="false">IF($B61="Coberturas (30g)",IF($D61="un",$J61,$J61*30),"")</f>
        <v/>
      </c>
    </row>
    <row r="62" customFormat="false" ht="15" hidden="false" customHeight="true" outlineLevel="0" collapsed="false">
      <c r="A62" s="33"/>
      <c r="B62" s="33"/>
      <c r="C62" s="33"/>
      <c r="D62" s="33"/>
      <c r="E62" s="33"/>
      <c r="F62" s="33"/>
      <c r="G62" s="33"/>
      <c r="H62" s="33"/>
      <c r="I62" s="19" t="str">
        <f aca="false">IF(AND($G62="",$H62=""),"",SUM($G62:$H62))</f>
        <v/>
      </c>
      <c r="J62" s="19" t="str">
        <f aca="false">IF($B62="","",IF($B62="Embalagens",IFERROR(INDEX(Embalagens_CustoUnit,MATCH($A62,Embalagens_Nome,0)),0),IFERROR($I62/$F62,0)))</f>
        <v/>
      </c>
      <c r="K62" s="29" t="s">
        <v>92</v>
      </c>
      <c r="L62" s="19" t="str">
        <f aca="false">IF($B62="Coberturas (30g)",IF($D62="un",$J62,$J62*30),"")</f>
        <v/>
      </c>
    </row>
    <row r="63" customFormat="false" ht="15" hidden="false" customHeight="true" outlineLevel="0" collapsed="false">
      <c r="A63" s="33"/>
      <c r="B63" s="33"/>
      <c r="C63" s="33"/>
      <c r="D63" s="33"/>
      <c r="E63" s="33"/>
      <c r="F63" s="33"/>
      <c r="G63" s="33"/>
      <c r="H63" s="33"/>
      <c r="I63" s="19" t="str">
        <f aca="false">IF(AND($G63="",$H63=""),"",SUM($G63:$H63))</f>
        <v/>
      </c>
      <c r="J63" s="19" t="str">
        <f aca="false">IF($B63="","",IF($B63="Embalagens",IFERROR(INDEX(Embalagens_CustoUnit,MATCH($A63,Embalagens_Nome,0)),0),IFERROR($I63/$F63,0)))</f>
        <v/>
      </c>
      <c r="K63" s="29" t="s">
        <v>92</v>
      </c>
      <c r="L63" s="19" t="str">
        <f aca="false">IF($B63="Coberturas (30g)",IF($D63="un",$J63,$J63*30),"")</f>
        <v/>
      </c>
    </row>
    <row r="64" customFormat="false" ht="15" hidden="false" customHeight="true" outlineLevel="0" collapsed="false">
      <c r="A64" s="33"/>
      <c r="B64" s="33"/>
      <c r="C64" s="33"/>
      <c r="D64" s="33"/>
      <c r="E64" s="33"/>
      <c r="F64" s="33"/>
      <c r="G64" s="33"/>
      <c r="H64" s="33"/>
      <c r="I64" s="19" t="str">
        <f aca="false">IF(AND($G64="",$H64=""),"",SUM($G64:$H64))</f>
        <v/>
      </c>
      <c r="J64" s="19" t="str">
        <f aca="false">IF($B64="","",IF($B64="Embalagens",IFERROR(INDEX(Embalagens_CustoUnit,MATCH($A64,Embalagens_Nome,0)),0),IFERROR($I64/$F64,0)))</f>
        <v/>
      </c>
      <c r="K64" s="29" t="s">
        <v>92</v>
      </c>
      <c r="L64" s="19" t="str">
        <f aca="false">IF($B64="Coberturas (30g)",IF($D64="un",$J64,$J64*30),"")</f>
        <v/>
      </c>
    </row>
    <row r="65" customFormat="false" ht="15" hidden="false" customHeight="true" outlineLevel="0" collapsed="false">
      <c r="A65" s="33"/>
      <c r="B65" s="33"/>
      <c r="C65" s="33"/>
      <c r="D65" s="33"/>
      <c r="E65" s="33"/>
      <c r="F65" s="33"/>
      <c r="G65" s="33"/>
      <c r="H65" s="33"/>
      <c r="I65" s="19" t="str">
        <f aca="false">IF(AND($G65="",$H65=""),"",SUM($G65:$H65))</f>
        <v/>
      </c>
      <c r="J65" s="19" t="str">
        <f aca="false">IF($B65="","",IF($B65="Embalagens",IFERROR(INDEX(Embalagens_CustoUnit,MATCH($A65,Embalagens_Nome,0)),0),IFERROR($I65/$F65,0)))</f>
        <v/>
      </c>
      <c r="K65" s="29" t="s">
        <v>92</v>
      </c>
      <c r="L65" s="19" t="str">
        <f aca="false">IF($B65="Coberturas (30g)",IF($D65="un",$J65,$J65*30),"")</f>
        <v/>
      </c>
    </row>
    <row r="66" customFormat="false" ht="15" hidden="false" customHeight="true" outlineLevel="0" collapsed="false">
      <c r="A66" s="33"/>
      <c r="B66" s="33"/>
      <c r="C66" s="33"/>
      <c r="D66" s="33"/>
      <c r="E66" s="33"/>
      <c r="F66" s="33"/>
      <c r="G66" s="33"/>
      <c r="H66" s="33"/>
      <c r="I66" s="19" t="str">
        <f aca="false">IF(AND($G66="",$H66=""),"",SUM($G66:$H66))</f>
        <v/>
      </c>
      <c r="J66" s="19" t="str">
        <f aca="false">IF($B66="","",IF($B66="Embalagens",IFERROR(INDEX(Embalagens_CustoUnit,MATCH($A66,Embalagens_Nome,0)),0),IFERROR($I66/$F66,0)))</f>
        <v/>
      </c>
      <c r="K66" s="29" t="s">
        <v>92</v>
      </c>
      <c r="L66" s="19" t="str">
        <f aca="false">IF($B66="Coberturas (30g)",IF($D66="un",$J66,$J66*30),"")</f>
        <v/>
      </c>
    </row>
    <row r="67" customFormat="false" ht="15" hidden="false" customHeight="true" outlineLevel="0" collapsed="false">
      <c r="A67" s="33"/>
      <c r="B67" s="33"/>
      <c r="C67" s="33"/>
      <c r="D67" s="33"/>
      <c r="E67" s="33"/>
      <c r="F67" s="33"/>
      <c r="G67" s="33"/>
      <c r="H67" s="33"/>
      <c r="I67" s="19" t="str">
        <f aca="false">IF(AND($G67="",$H67=""),"",SUM($G67:$H67))</f>
        <v/>
      </c>
      <c r="J67" s="19" t="str">
        <f aca="false">IF($B67="","",IF($B67="Embalagens",IFERROR(INDEX(Embalagens_CustoUnit,MATCH($A67,Embalagens_Nome,0)),0),IFERROR($I67/$F67,0)))</f>
        <v/>
      </c>
      <c r="K67" s="29" t="s">
        <v>92</v>
      </c>
      <c r="L67" s="19" t="str">
        <f aca="false">IF($B67="Coberturas (30g)",IF($D67="un",$J67,$J67*30),"")</f>
        <v/>
      </c>
    </row>
    <row r="68" customFormat="false" ht="15" hidden="false" customHeight="true" outlineLevel="0" collapsed="false">
      <c r="A68" s="33"/>
      <c r="B68" s="33"/>
      <c r="C68" s="33"/>
      <c r="D68" s="33"/>
      <c r="E68" s="33"/>
      <c r="F68" s="33"/>
      <c r="G68" s="33"/>
      <c r="H68" s="33"/>
      <c r="I68" s="19" t="str">
        <f aca="false">IF(AND($G68="",$H68=""),"",SUM($G68:$H68))</f>
        <v/>
      </c>
      <c r="J68" s="19" t="str">
        <f aca="false">IF($B68="","",IF($B68="Embalagens",IFERROR(INDEX(Embalagens_CustoUnit,MATCH($A68,Embalagens_Nome,0)),0),IFERROR($I68/$F68,0)))</f>
        <v/>
      </c>
      <c r="K68" s="29" t="s">
        <v>92</v>
      </c>
      <c r="L68" s="19" t="str">
        <f aca="false">IF($B68="Coberturas (30g)",IF($D68="un",$J68,$J68*30),"")</f>
        <v/>
      </c>
    </row>
    <row r="69" customFormat="false" ht="15" hidden="false" customHeight="true" outlineLevel="0" collapsed="false">
      <c r="A69" s="33"/>
      <c r="B69" s="33"/>
      <c r="C69" s="33"/>
      <c r="D69" s="33"/>
      <c r="E69" s="33"/>
      <c r="F69" s="33"/>
      <c r="G69" s="33"/>
      <c r="H69" s="33"/>
      <c r="I69" s="19" t="str">
        <f aca="false">IF(AND($G69="",$H69=""),"",SUM($G69:$H69))</f>
        <v/>
      </c>
      <c r="J69" s="19" t="str">
        <f aca="false">IF($B69="","",IF($B69="Embalagens",IFERROR(INDEX(Embalagens_CustoUnit,MATCH($A69,Embalagens_Nome,0)),0),IFERROR($I69/$F69,0)))</f>
        <v/>
      </c>
      <c r="K69" s="29" t="s">
        <v>92</v>
      </c>
      <c r="L69" s="19" t="str">
        <f aca="false">IF($B69="Coberturas (30g)",IF($D69="un",$J69,$J69*30),"")</f>
        <v/>
      </c>
    </row>
    <row r="70" customFormat="false" ht="15" hidden="false" customHeight="true" outlineLevel="0" collapsed="false">
      <c r="A70" s="33"/>
      <c r="B70" s="33"/>
      <c r="C70" s="33"/>
      <c r="D70" s="33"/>
      <c r="E70" s="33"/>
      <c r="F70" s="33"/>
      <c r="G70" s="33"/>
      <c r="H70" s="33"/>
      <c r="I70" s="19" t="str">
        <f aca="false">IF(AND($G70="",$H70=""),"",SUM($G70:$H70))</f>
        <v/>
      </c>
      <c r="J70" s="19" t="str">
        <f aca="false">IF($B70="","",IF($B70="Embalagens",IFERROR(INDEX(Embalagens_CustoUnit,MATCH($A70,Embalagens_Nome,0)),0),IFERROR($I70/$F70,0)))</f>
        <v/>
      </c>
      <c r="K70" s="29" t="s">
        <v>92</v>
      </c>
      <c r="L70" s="19" t="str">
        <f aca="false">IF($B70="Coberturas (30g)",IF($D70="un",$J70,$J70*30),"")</f>
        <v/>
      </c>
    </row>
    <row r="71" customFormat="false" ht="15" hidden="false" customHeight="true" outlineLevel="0" collapsed="false">
      <c r="A71" s="33"/>
      <c r="B71" s="33"/>
      <c r="C71" s="33"/>
      <c r="D71" s="33"/>
      <c r="E71" s="33"/>
      <c r="F71" s="33"/>
      <c r="G71" s="33"/>
      <c r="H71" s="33"/>
      <c r="I71" s="19" t="str">
        <f aca="false">IF(AND($G71="",$H71=""),"",SUM($G71:$H71))</f>
        <v/>
      </c>
      <c r="J71" s="19" t="str">
        <f aca="false">IF($B71="","",IF($B71="Embalagens",IFERROR(INDEX(Embalagens_CustoUnit,MATCH($A71,Embalagens_Nome,0)),0),IFERROR($I71/$F71,0)))</f>
        <v/>
      </c>
      <c r="K71" s="29" t="s">
        <v>92</v>
      </c>
      <c r="L71" s="19" t="str">
        <f aca="false">IF($B71="Coberturas (30g)",IF($D71="un",$J71,$J71*30),"")</f>
        <v/>
      </c>
    </row>
    <row r="72" customFormat="false" ht="15" hidden="false" customHeight="true" outlineLevel="0" collapsed="false">
      <c r="A72" s="33"/>
      <c r="B72" s="33"/>
      <c r="C72" s="33"/>
      <c r="D72" s="33"/>
      <c r="E72" s="33"/>
      <c r="F72" s="33"/>
      <c r="G72" s="33"/>
      <c r="H72" s="33"/>
      <c r="I72" s="19" t="str">
        <f aca="false">IF(AND($G72="",$H72=""),"",SUM($G72:$H72))</f>
        <v/>
      </c>
      <c r="J72" s="19" t="str">
        <f aca="false">IF($B72="","",IF($B72="Embalagens",IFERROR(INDEX(Embalagens_CustoUnit,MATCH($A72,Embalagens_Nome,0)),0),IFERROR($I72/$F72,0)))</f>
        <v/>
      </c>
      <c r="K72" s="29" t="s">
        <v>92</v>
      </c>
      <c r="L72" s="19" t="str">
        <f aca="false">IF($B72="Coberturas (30g)",IF($D72="un",$J72,$J72*30),"")</f>
        <v/>
      </c>
    </row>
    <row r="73" customFormat="false" ht="15" hidden="false" customHeight="true" outlineLevel="0" collapsed="false">
      <c r="A73" s="33"/>
      <c r="B73" s="33"/>
      <c r="C73" s="33"/>
      <c r="D73" s="33"/>
      <c r="E73" s="33"/>
      <c r="F73" s="33"/>
      <c r="G73" s="33"/>
      <c r="H73" s="33"/>
      <c r="I73" s="19" t="str">
        <f aca="false">IF(AND($G73="",$H73=""),"",SUM($G73:$H73))</f>
        <v/>
      </c>
      <c r="J73" s="19" t="str">
        <f aca="false">IF($B73="","",IF($B73="Embalagens",IFERROR(INDEX(Embalagens_CustoUnit,MATCH($A73,Embalagens_Nome,0)),0),IFERROR($I73/$F73,0)))</f>
        <v/>
      </c>
      <c r="K73" s="29" t="s">
        <v>92</v>
      </c>
      <c r="L73" s="19" t="str">
        <f aca="false">IF($B73="Coberturas (30g)",IF($D73="un",$J73,$J73*30),"")</f>
        <v/>
      </c>
    </row>
    <row r="74" customFormat="false" ht="15" hidden="false" customHeight="true" outlineLevel="0" collapsed="false">
      <c r="A74" s="33"/>
      <c r="B74" s="33"/>
      <c r="C74" s="33"/>
      <c r="D74" s="33"/>
      <c r="E74" s="33"/>
      <c r="F74" s="33"/>
      <c r="G74" s="33"/>
      <c r="H74" s="33"/>
      <c r="I74" s="19" t="str">
        <f aca="false">IF(AND($G74="",$H74=""),"",SUM($G74:$H74))</f>
        <v/>
      </c>
      <c r="J74" s="19" t="str">
        <f aca="false">IF($B74="","",IF($B74="Embalagens",IFERROR(INDEX(Embalagens_CustoUnit,MATCH($A74,Embalagens_Nome,0)),0),IFERROR($I74/$F74,0)))</f>
        <v/>
      </c>
      <c r="K74" s="29" t="s">
        <v>92</v>
      </c>
      <c r="L74" s="19" t="str">
        <f aca="false">IF($B74="Coberturas (30g)",IF($D74="un",$J74,$J74*30),"")</f>
        <v/>
      </c>
    </row>
    <row r="75" customFormat="false" ht="15" hidden="false" customHeight="true" outlineLevel="0" collapsed="false">
      <c r="A75" s="33"/>
      <c r="B75" s="33"/>
      <c r="C75" s="33"/>
      <c r="D75" s="33"/>
      <c r="E75" s="33"/>
      <c r="F75" s="33"/>
      <c r="G75" s="33"/>
      <c r="H75" s="33"/>
      <c r="I75" s="19" t="str">
        <f aca="false">IF(AND($G75="",$H75=""),"",SUM($G75:$H75))</f>
        <v/>
      </c>
      <c r="J75" s="19" t="str">
        <f aca="false">IF($B75="","",IF($B75="Embalagens",IFERROR(INDEX(Embalagens_CustoUnit,MATCH($A75,Embalagens_Nome,0)),0),IFERROR($I75/$F75,0)))</f>
        <v/>
      </c>
      <c r="K75" s="29" t="s">
        <v>92</v>
      </c>
      <c r="L75" s="19" t="str">
        <f aca="false">IF($B75="Coberturas (30g)",IF($D75="un",$J75,$J75*30),"")</f>
        <v/>
      </c>
    </row>
    <row r="76" customFormat="false" ht="15" hidden="false" customHeight="true" outlineLevel="0" collapsed="false">
      <c r="A76" s="33"/>
      <c r="B76" s="33"/>
      <c r="C76" s="33"/>
      <c r="D76" s="33"/>
      <c r="E76" s="33"/>
      <c r="F76" s="33"/>
      <c r="G76" s="33"/>
      <c r="H76" s="33"/>
      <c r="I76" s="19" t="str">
        <f aca="false">IF(AND($G76="",$H76=""),"",SUM($G76:$H76))</f>
        <v/>
      </c>
      <c r="J76" s="19" t="str">
        <f aca="false">IF($B76="","",IF($B76="Embalagens",IFERROR(INDEX(Embalagens_CustoUnit,MATCH($A76,Embalagens_Nome,0)),0),IFERROR($I76/$F76,0)))</f>
        <v/>
      </c>
      <c r="K76" s="29" t="s">
        <v>92</v>
      </c>
      <c r="L76" s="19" t="str">
        <f aca="false">IF($B76="Coberturas (30g)",IF($D76="un",$J76,$J76*30),"")</f>
        <v/>
      </c>
    </row>
    <row r="77" customFormat="false" ht="15" hidden="false" customHeight="true" outlineLevel="0" collapsed="false">
      <c r="A77" s="33"/>
      <c r="B77" s="33"/>
      <c r="C77" s="33"/>
      <c r="D77" s="33"/>
      <c r="E77" s="33"/>
      <c r="F77" s="33"/>
      <c r="G77" s="33"/>
      <c r="H77" s="33"/>
      <c r="I77" s="19" t="str">
        <f aca="false">IF(AND($G77="",$H77=""),"",SUM($G77:$H77))</f>
        <v/>
      </c>
      <c r="J77" s="19" t="str">
        <f aca="false">IF($B77="","",IF($B77="Embalagens",IFERROR(INDEX(Embalagens_CustoUnit,MATCH($A77,Embalagens_Nome,0)),0),IFERROR($I77/$F77,0)))</f>
        <v/>
      </c>
      <c r="K77" s="29" t="s">
        <v>92</v>
      </c>
      <c r="L77" s="19" t="str">
        <f aca="false">IF($B77="Coberturas (30g)",IF($D77="un",$J77,$J77*30),"")</f>
        <v/>
      </c>
    </row>
    <row r="78" customFormat="false" ht="15" hidden="false" customHeight="true" outlineLevel="0" collapsed="false">
      <c r="A78" s="33"/>
      <c r="B78" s="33"/>
      <c r="C78" s="33"/>
      <c r="D78" s="33"/>
      <c r="E78" s="33"/>
      <c r="F78" s="33"/>
      <c r="G78" s="33"/>
      <c r="H78" s="33"/>
      <c r="I78" s="19" t="str">
        <f aca="false">IF(AND($G78="",$H78=""),"",SUM($G78:$H78))</f>
        <v/>
      </c>
      <c r="J78" s="19" t="str">
        <f aca="false">IF($B78="","",IF($B78="Embalagens",IFERROR(INDEX(Embalagens_CustoUnit,MATCH($A78,Embalagens_Nome,0)),0),IFERROR($I78/$F78,0)))</f>
        <v/>
      </c>
      <c r="K78" s="29" t="s">
        <v>92</v>
      </c>
      <c r="L78" s="19" t="str">
        <f aca="false">IF($B78="Coberturas (30g)",IF($D78="un",$J78,$J78*30),"")</f>
        <v/>
      </c>
    </row>
    <row r="79" customFormat="false" ht="15" hidden="false" customHeight="true" outlineLevel="0" collapsed="false">
      <c r="A79" s="33"/>
      <c r="B79" s="33"/>
      <c r="C79" s="33"/>
      <c r="D79" s="33"/>
      <c r="E79" s="33"/>
      <c r="F79" s="33"/>
      <c r="G79" s="33"/>
      <c r="H79" s="33"/>
      <c r="I79" s="19" t="str">
        <f aca="false">IF(AND($G79="",$H79=""),"",SUM($G79:$H79))</f>
        <v/>
      </c>
      <c r="J79" s="19" t="str">
        <f aca="false">IF($B79="","",IF($B79="Embalagens",IFERROR(INDEX(Embalagens_CustoUnit,MATCH($A79,Embalagens_Nome,0)),0),IFERROR($I79/$F79,0)))</f>
        <v/>
      </c>
      <c r="K79" s="29" t="s">
        <v>92</v>
      </c>
      <c r="L79" s="19" t="str">
        <f aca="false">IF($B79="Coberturas (30g)",IF($D79="un",$J79,$J79*30),"")</f>
        <v/>
      </c>
    </row>
    <row r="80" customFormat="false" ht="15" hidden="false" customHeight="true" outlineLevel="0" collapsed="false">
      <c r="A80" s="33"/>
      <c r="B80" s="33"/>
      <c r="C80" s="33"/>
      <c r="D80" s="33"/>
      <c r="E80" s="33"/>
      <c r="F80" s="33"/>
      <c r="G80" s="33"/>
      <c r="H80" s="33"/>
      <c r="I80" s="19" t="str">
        <f aca="false">IF(AND($G80="",$H80=""),"",SUM($G80:$H80))</f>
        <v/>
      </c>
      <c r="J80" s="19" t="str">
        <f aca="false">IF($B80="","",IF($B80="Embalagens",IFERROR(INDEX(Embalagens_CustoUnit,MATCH($A80,Embalagens_Nome,0)),0),IFERROR($I80/$F80,0)))</f>
        <v/>
      </c>
      <c r="K80" s="29" t="s">
        <v>92</v>
      </c>
      <c r="L80" s="19" t="str">
        <f aca="false">IF($B80="Coberturas (30g)",IF($D80="un",$J80,$J80*30),"")</f>
        <v/>
      </c>
    </row>
    <row r="81" customFormat="false" ht="15" hidden="false" customHeight="true" outlineLevel="0" collapsed="false">
      <c r="A81" s="33"/>
      <c r="B81" s="33"/>
      <c r="C81" s="33"/>
      <c r="D81" s="33"/>
      <c r="E81" s="33"/>
      <c r="F81" s="33"/>
      <c r="G81" s="33"/>
      <c r="H81" s="33"/>
      <c r="I81" s="19" t="str">
        <f aca="false">IF(AND($G81="",$H81=""),"",SUM($G81:$H81))</f>
        <v/>
      </c>
      <c r="J81" s="19" t="str">
        <f aca="false">IF($B81="","",IF($B81="Embalagens",IFERROR(INDEX(Embalagens_CustoUnit,MATCH($A81,Embalagens_Nome,0)),0),IFERROR($I81/$F81,0)))</f>
        <v/>
      </c>
      <c r="K81" s="29" t="s">
        <v>92</v>
      </c>
      <c r="L81" s="19" t="str">
        <f aca="false">IF($B81="Coberturas (30g)",IF($D81="un",$J81,$J81*30),"")</f>
        <v/>
      </c>
    </row>
    <row r="82" customFormat="false" ht="15" hidden="false" customHeight="true" outlineLevel="0" collapsed="false">
      <c r="A82" s="33"/>
      <c r="B82" s="33"/>
      <c r="C82" s="33"/>
      <c r="D82" s="33"/>
      <c r="E82" s="33"/>
      <c r="F82" s="33"/>
      <c r="G82" s="33"/>
      <c r="H82" s="33"/>
      <c r="I82" s="19" t="str">
        <f aca="false">IF(AND($G82="",$H82=""),"",SUM($G82:$H82))</f>
        <v/>
      </c>
      <c r="J82" s="19" t="str">
        <f aca="false">IF($B82="","",IF($B82="Embalagens",IFERROR(INDEX(Embalagens_CustoUnit,MATCH($A82,Embalagens_Nome,0)),0),IFERROR($I82/$F82,0)))</f>
        <v/>
      </c>
      <c r="K82" s="29" t="s">
        <v>92</v>
      </c>
      <c r="L82" s="19" t="str">
        <f aca="false">IF($B82="Coberturas (30g)",IF($D82="un",$J82,$J82*30),"")</f>
        <v/>
      </c>
    </row>
    <row r="83" customFormat="false" ht="15" hidden="false" customHeight="true" outlineLevel="0" collapsed="false">
      <c r="A83" s="33"/>
      <c r="B83" s="33"/>
      <c r="C83" s="33"/>
      <c r="D83" s="33"/>
      <c r="E83" s="33"/>
      <c r="F83" s="33"/>
      <c r="G83" s="33"/>
      <c r="H83" s="33"/>
      <c r="I83" s="19" t="str">
        <f aca="false">IF(AND($G83="",$H83=""),"",SUM($G83:$H83))</f>
        <v/>
      </c>
      <c r="J83" s="19" t="str">
        <f aca="false">IF($B83="","",IF($B83="Embalagens",IFERROR(INDEX(Embalagens_CustoUnit,MATCH($A83,Embalagens_Nome,0)),0),IFERROR($I83/$F83,0)))</f>
        <v/>
      </c>
      <c r="K83" s="29" t="s">
        <v>92</v>
      </c>
      <c r="L83" s="19" t="str">
        <f aca="false">IF($B83="Coberturas (30g)",IF($D83="un",$J83,$J83*30),"")</f>
        <v/>
      </c>
    </row>
    <row r="84" customFormat="false" ht="15" hidden="false" customHeight="true" outlineLevel="0" collapsed="false">
      <c r="A84" s="33"/>
      <c r="B84" s="33"/>
      <c r="C84" s="33"/>
      <c r="D84" s="33"/>
      <c r="E84" s="33"/>
      <c r="F84" s="33"/>
      <c r="G84" s="33"/>
      <c r="H84" s="33"/>
      <c r="I84" s="19" t="str">
        <f aca="false">IF(AND($G84="",$H84=""),"",SUM($G84:$H84))</f>
        <v/>
      </c>
      <c r="J84" s="19" t="str">
        <f aca="false">IF($B84="","",IF($B84="Embalagens",IFERROR(INDEX(Embalagens_CustoUnit,MATCH($A84,Embalagens_Nome,0)),0),IFERROR($I84/$F84,0)))</f>
        <v/>
      </c>
      <c r="K84" s="29" t="s">
        <v>92</v>
      </c>
      <c r="L84" s="19" t="str">
        <f aca="false">IF($B84="Coberturas (30g)",IF($D84="un",$J84,$J84*30),"")</f>
        <v/>
      </c>
    </row>
    <row r="85" customFormat="false" ht="15" hidden="false" customHeight="true" outlineLevel="0" collapsed="false">
      <c r="A85" s="33"/>
      <c r="B85" s="33"/>
      <c r="C85" s="33"/>
      <c r="D85" s="33"/>
      <c r="E85" s="33"/>
      <c r="F85" s="33"/>
      <c r="G85" s="33"/>
      <c r="H85" s="33"/>
      <c r="I85" s="19" t="str">
        <f aca="false">IF(AND($G85="",$H85=""),"",SUM($G85:$H85))</f>
        <v/>
      </c>
      <c r="J85" s="19" t="str">
        <f aca="false">IF($B85="","",IF($B85="Embalagens",IFERROR(INDEX(Embalagens_CustoUnit,MATCH($A85,Embalagens_Nome,0)),0),IFERROR($I85/$F85,0)))</f>
        <v/>
      </c>
      <c r="K85" s="29" t="s">
        <v>92</v>
      </c>
      <c r="L85" s="19" t="str">
        <f aca="false">IF($B85="Coberturas (30g)",IF($D85="un",$J85,$J85*30),"")</f>
        <v/>
      </c>
    </row>
  </sheetData>
  <mergeCells count="2">
    <mergeCell ref="A1:L1"/>
    <mergeCell ref="A2:L2"/>
  </mergeCells>
  <conditionalFormatting sqref="A5:L85">
    <cfRule type="expression" priority="2" aboveAverage="0" equalAverage="0" bottom="0" percent="0" rank="0" text="" dxfId="9">
      <formula>$K5="Inativo"</formula>
    </cfRule>
  </conditionalFormatting>
  <dataValidations count="2">
    <dataValidation allowBlank="true" errorStyle="stop" operator="between" showDropDown="false" showErrorMessage="true" showInputMessage="false" sqref="B5:B85" type="list">
      <formula1>Listas!$B$2:$B$8</formula1>
      <formula2>0</formula2>
    </dataValidation>
    <dataValidation allowBlank="true" errorStyle="stop" operator="between" showDropDown="false" showErrorMessage="true" showInputMessage="false" sqref="K5:K85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8"/>
    <col collapsed="false" customWidth="true" hidden="false" outlineLevel="0" max="5" min="4" style="1" width="16"/>
  </cols>
  <sheetData>
    <row r="1" customFormat="false" ht="25.5" hidden="false" customHeight="true" outlineLevel="0" collapsed="false">
      <c r="A1" s="13" t="s">
        <v>158</v>
      </c>
      <c r="B1" s="13"/>
      <c r="C1" s="13"/>
      <c r="D1" s="13"/>
      <c r="E1" s="13"/>
    </row>
    <row r="2" customFormat="false" ht="30" hidden="false" customHeight="true" outlineLevel="0" collapsed="false">
      <c r="A2" s="14" t="s">
        <v>159</v>
      </c>
      <c r="B2" s="14"/>
      <c r="C2" s="14"/>
      <c r="D2" s="14"/>
      <c r="E2" s="14"/>
    </row>
    <row r="4" customFormat="false" ht="30" hidden="false" customHeight="true" outlineLevel="0" collapsed="false">
      <c r="A4" s="27" t="s">
        <v>160</v>
      </c>
      <c r="B4" s="27" t="s">
        <v>78</v>
      </c>
      <c r="C4" s="27" t="s">
        <v>161</v>
      </c>
      <c r="D4" s="27" t="s">
        <v>162</v>
      </c>
      <c r="E4" s="27" t="s">
        <v>163</v>
      </c>
    </row>
    <row r="5" customFormat="false" ht="15" hidden="false" customHeight="true" outlineLevel="0" collapsed="false">
      <c r="A5" s="28" t="s">
        <v>120</v>
      </c>
      <c r="B5" s="29"/>
      <c r="C5" s="31" t="n">
        <v>1</v>
      </c>
      <c r="D5" s="32" t="n">
        <v>0.1668</v>
      </c>
      <c r="E5" s="19" t="n">
        <f aca="false">IFERROR($D5/$C5,0)</f>
        <v>0.1668</v>
      </c>
    </row>
    <row r="6" customFormat="false" ht="15" hidden="false" customHeight="true" outlineLevel="0" collapsed="false">
      <c r="A6" s="28" t="s">
        <v>123</v>
      </c>
      <c r="B6" s="29"/>
      <c r="C6" s="31" t="n">
        <v>1</v>
      </c>
      <c r="D6" s="32" t="n">
        <v>0.15372</v>
      </c>
      <c r="E6" s="19" t="n">
        <f aca="false">IFERROR($D6/$C6,0)</f>
        <v>0.15372</v>
      </c>
    </row>
    <row r="7" customFormat="false" ht="15" hidden="false" customHeight="true" outlineLevel="0" collapsed="false">
      <c r="A7" s="28" t="s">
        <v>124</v>
      </c>
      <c r="B7" s="29"/>
      <c r="C7" s="31" t="n">
        <v>1</v>
      </c>
      <c r="D7" s="32" t="n">
        <v>0.24365</v>
      </c>
      <c r="E7" s="19" t="n">
        <f aca="false">IFERROR($D7/$C7,0)</f>
        <v>0.24365</v>
      </c>
    </row>
    <row r="8" customFormat="false" ht="15" hidden="false" customHeight="true" outlineLevel="0" collapsed="false">
      <c r="A8" s="28" t="s">
        <v>125</v>
      </c>
      <c r="B8" s="29"/>
      <c r="C8" s="31" t="n">
        <v>1</v>
      </c>
      <c r="D8" s="32" t="n">
        <v>0.0823</v>
      </c>
      <c r="E8" s="19" t="n">
        <f aca="false">IFERROR($D8/$C8,0)</f>
        <v>0.0823</v>
      </c>
    </row>
    <row r="9" customFormat="false" ht="15" hidden="false" customHeight="true" outlineLevel="0" collapsed="false">
      <c r="A9" s="28" t="s">
        <v>126</v>
      </c>
      <c r="B9" s="29"/>
      <c r="C9" s="31" t="n">
        <v>1</v>
      </c>
      <c r="D9" s="32" t="n">
        <v>0.0823</v>
      </c>
      <c r="E9" s="19" t="n">
        <f aca="false">IFERROR($D9/$C9,0)</f>
        <v>0.0823</v>
      </c>
    </row>
    <row r="10" customFormat="false" ht="15" hidden="false" customHeight="true" outlineLevel="0" collapsed="false">
      <c r="A10" s="28" t="s">
        <v>127</v>
      </c>
      <c r="B10" s="29"/>
      <c r="C10" s="31" t="n">
        <v>1</v>
      </c>
      <c r="D10" s="32" t="n">
        <v>0.0923</v>
      </c>
      <c r="E10" s="19" t="n">
        <f aca="false">IFERROR($D10/$C10,0)</f>
        <v>0.0923</v>
      </c>
    </row>
    <row r="11" customFormat="false" ht="15" hidden="false" customHeight="true" outlineLevel="0" collapsed="false">
      <c r="A11" s="28" t="s">
        <v>128</v>
      </c>
      <c r="B11" s="29"/>
      <c r="C11" s="31"/>
      <c r="D11" s="32"/>
      <c r="E11" s="19" t="n">
        <f aca="false">IFERROR($D11/$C11,0)</f>
        <v>0</v>
      </c>
    </row>
    <row r="12" customFormat="false" ht="15" hidden="false" customHeight="true" outlineLevel="0" collapsed="false">
      <c r="A12" s="28" t="s">
        <v>129</v>
      </c>
      <c r="B12" s="29"/>
      <c r="C12" s="31"/>
      <c r="D12" s="32"/>
      <c r="E12" s="19" t="n">
        <f aca="false">IFERROR($D12/$C12,0)</f>
        <v>0</v>
      </c>
    </row>
    <row r="13" customFormat="false" ht="15" hidden="false" customHeight="true" outlineLevel="0" collapsed="false">
      <c r="A13" s="28" t="s">
        <v>130</v>
      </c>
      <c r="B13" s="29"/>
      <c r="C13" s="31"/>
      <c r="D13" s="32"/>
      <c r="E13" s="19" t="n">
        <f aca="false">IFERROR($D13/$C13,0)</f>
        <v>0</v>
      </c>
    </row>
    <row r="14" customFormat="false" ht="15" hidden="false" customHeight="true" outlineLevel="0" collapsed="false">
      <c r="A14" s="33"/>
      <c r="B14" s="33"/>
      <c r="C14" s="33"/>
      <c r="D14" s="33"/>
      <c r="E14" s="19" t="n">
        <f aca="false">IFERROR($D14/$C14,0)</f>
        <v>0</v>
      </c>
    </row>
    <row r="15" customFormat="false" ht="15" hidden="false" customHeight="true" outlineLevel="0" collapsed="false">
      <c r="A15" s="33"/>
      <c r="B15" s="33"/>
      <c r="C15" s="33"/>
      <c r="D15" s="33"/>
      <c r="E15" s="19" t="n">
        <f aca="false">IFERROR($D15/$C15,0)</f>
        <v>0</v>
      </c>
    </row>
    <row r="16" customFormat="false" ht="15" hidden="false" customHeight="true" outlineLevel="0" collapsed="false">
      <c r="A16" s="33"/>
      <c r="B16" s="33"/>
      <c r="C16" s="33"/>
      <c r="D16" s="33"/>
      <c r="E16" s="19" t="n">
        <f aca="false">IFERROR($D16/$C16,0)</f>
        <v>0</v>
      </c>
    </row>
    <row r="17" customFormat="false" ht="15" hidden="false" customHeight="true" outlineLevel="0" collapsed="false">
      <c r="A17" s="33"/>
      <c r="B17" s="33"/>
      <c r="C17" s="33"/>
      <c r="D17" s="33"/>
      <c r="E17" s="19" t="n">
        <f aca="false">IFERROR($D17/$C17,0)</f>
        <v>0</v>
      </c>
    </row>
    <row r="18" customFormat="false" ht="15" hidden="false" customHeight="true" outlineLevel="0" collapsed="false">
      <c r="A18" s="33"/>
      <c r="B18" s="33"/>
      <c r="C18" s="33"/>
      <c r="D18" s="33"/>
      <c r="E18" s="19" t="n">
        <f aca="false">IFERROR($D18/$C18,0)</f>
        <v>0</v>
      </c>
    </row>
    <row r="19" customFormat="false" ht="15" hidden="false" customHeight="true" outlineLevel="0" collapsed="false">
      <c r="A19" s="33"/>
      <c r="B19" s="33"/>
      <c r="C19" s="33"/>
      <c r="D19" s="33"/>
      <c r="E19" s="19" t="n">
        <f aca="false">IFERROR($D19/$C19,0)</f>
        <v>0</v>
      </c>
    </row>
    <row r="20" customFormat="false" ht="15" hidden="false" customHeight="true" outlineLevel="0" collapsed="false">
      <c r="A20" s="33"/>
      <c r="B20" s="33"/>
      <c r="C20" s="33"/>
      <c r="D20" s="33"/>
      <c r="E20" s="19" t="n">
        <f aca="false">IFERROR($D20/$C20,0)</f>
        <v>0</v>
      </c>
    </row>
    <row r="21" customFormat="false" ht="15" hidden="false" customHeight="true" outlineLevel="0" collapsed="false">
      <c r="A21" s="33"/>
      <c r="B21" s="33"/>
      <c r="C21" s="33"/>
      <c r="D21" s="33"/>
      <c r="E21" s="19" t="n">
        <f aca="false">IFERROR($D21/$C21,0)</f>
        <v>0</v>
      </c>
    </row>
    <row r="22" customFormat="false" ht="15" hidden="false" customHeight="true" outlineLevel="0" collapsed="false">
      <c r="A22" s="33"/>
      <c r="B22" s="33"/>
      <c r="C22" s="33"/>
      <c r="D22" s="33"/>
      <c r="E22" s="19" t="n">
        <f aca="false">IFERROR($D22/$C22,0)</f>
        <v>0</v>
      </c>
    </row>
    <row r="23" customFormat="false" ht="15" hidden="false" customHeight="true" outlineLevel="0" collapsed="false">
      <c r="A23" s="33"/>
      <c r="B23" s="33"/>
      <c r="C23" s="33"/>
      <c r="D23" s="33"/>
      <c r="E23" s="19" t="n">
        <f aca="false">IFERROR($D23/$C23,0)</f>
        <v>0</v>
      </c>
    </row>
    <row r="24" customFormat="false" ht="15" hidden="false" customHeight="true" outlineLevel="0" collapsed="false">
      <c r="A24" s="33"/>
      <c r="B24" s="33"/>
      <c r="C24" s="33"/>
      <c r="D24" s="33"/>
      <c r="E24" s="19" t="n">
        <f aca="false">IFERROR($D24/$C24,0)</f>
        <v>0</v>
      </c>
    </row>
    <row r="25" customFormat="false" ht="15" hidden="false" customHeight="true" outlineLevel="0" collapsed="false">
      <c r="A25" s="33"/>
      <c r="B25" s="33"/>
      <c r="C25" s="33"/>
      <c r="D25" s="33"/>
      <c r="E25" s="19" t="n">
        <f aca="false">IFERROR($D25/$C25,0)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L4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13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2" min="12" style="1" width="12"/>
  </cols>
  <sheetData>
    <row r="1" customFormat="false" ht="25.5" hidden="false" customHeight="true" outlineLevel="0" collapsed="false">
      <c r="A1" s="13" t="s">
        <v>164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30" hidden="false" customHeight="true" outlineLevel="0" collapsed="false">
      <c r="A2" s="14" t="s">
        <v>165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30" hidden="false" customHeight="true" outlineLevel="0" collapsed="false">
      <c r="A4" s="27" t="s">
        <v>166</v>
      </c>
      <c r="B4" s="27" t="s">
        <v>167</v>
      </c>
      <c r="C4" s="27" t="s">
        <v>76</v>
      </c>
      <c r="D4" s="27" t="s">
        <v>168</v>
      </c>
      <c r="E4" s="27" t="s">
        <v>169</v>
      </c>
      <c r="F4" s="27" t="s">
        <v>163</v>
      </c>
      <c r="G4" s="27" t="s">
        <v>38</v>
      </c>
      <c r="H4" s="34" t="s">
        <v>170</v>
      </c>
      <c r="I4" s="34" t="s">
        <v>171</v>
      </c>
      <c r="J4" s="34" t="s">
        <v>172</v>
      </c>
      <c r="K4" s="34" t="s">
        <v>173</v>
      </c>
      <c r="L4" s="34" t="s">
        <v>174</v>
      </c>
    </row>
    <row r="5" customFormat="false" ht="15" hidden="false" customHeight="true" outlineLevel="0" collapsed="false">
      <c r="A5" s="29" t="s">
        <v>175</v>
      </c>
      <c r="B5" s="35" t="str">
        <f aca="false">IF($C5="","",IFERROR(INDEX(Insumos_Categoria,MATCH($C5,Insumos_Ingrediente,0)),""))</f>
        <v>Bases (Produção Própria)</v>
      </c>
      <c r="C5" s="29" t="s">
        <v>88</v>
      </c>
      <c r="D5" s="36" t="n">
        <v>170</v>
      </c>
      <c r="E5" s="35" t="str">
        <f aca="false">IF($C5="","",IFERROR(INDEX(Insumos_Unidade,MATCH($C5,Insumos_Ingrediente,0)),""))</f>
        <v>ml</v>
      </c>
      <c r="F5" s="19" t="n">
        <f aca="false">IFERROR(INDEX(Insumos_CustoUnit,MATCH($C5,Insumos_Ingrediente,0)),0)</f>
        <v>0.0165</v>
      </c>
      <c r="G5" s="19" t="n">
        <f aca="false">$D5*$F5</f>
        <v>2.805</v>
      </c>
      <c r="H5" s="37" t="n">
        <f aca="false">IF(OR($E5="g",$E5="ml"),$D5,0)</f>
        <v>170</v>
      </c>
      <c r="I5" s="38" t="n">
        <f aca="false">IF($C5="Açaí",1,0)</f>
        <v>1</v>
      </c>
      <c r="J5" s="38" t="n">
        <f aca="false">IF($C5="Banana",1,0)</f>
        <v>0</v>
      </c>
      <c r="K5" s="38" t="n">
        <f aca="false">IF($C5="Whey Protein",1,0)</f>
        <v>0</v>
      </c>
      <c r="L5" s="38" t="n">
        <f aca="false">IF(ISNUMBER(SEARCH("Copo",$C5)),1,0)</f>
        <v>0</v>
      </c>
    </row>
    <row r="6" customFormat="false" ht="15" hidden="false" customHeight="true" outlineLevel="0" collapsed="false">
      <c r="A6" s="29" t="s">
        <v>175</v>
      </c>
      <c r="B6" s="35" t="str">
        <f aca="false">IF($C6="","",IFERROR(INDEX(Insumos_Categoria,MATCH($C6,Insumos_Ingrediente,0)),""))</f>
        <v>Coberturas (30g)</v>
      </c>
      <c r="C6" s="29" t="s">
        <v>100</v>
      </c>
      <c r="D6" s="36" t="n">
        <v>30</v>
      </c>
      <c r="E6" s="35" t="str">
        <f aca="false">IF($C6="","",IFERROR(INDEX(Insumos_Unidade,MATCH($C6,Insumos_Ingrediente,0)),""))</f>
        <v>g</v>
      </c>
      <c r="F6" s="19" t="n">
        <f aca="false">IFERROR(INDEX(Insumos_CustoUnit,MATCH($C6,Insumos_Ingrediente,0)),0)</f>
        <v>0.00230769230769231</v>
      </c>
      <c r="G6" s="19" t="n">
        <f aca="false">$D6*$F6</f>
        <v>0.0692307692307692</v>
      </c>
      <c r="H6" s="37" t="n">
        <f aca="false">IF(OR($E6="g",$E6="ml"),$D6,0)</f>
        <v>30</v>
      </c>
      <c r="I6" s="38" t="n">
        <f aca="false">IF($C6="Açaí",1,0)</f>
        <v>0</v>
      </c>
      <c r="J6" s="38" t="n">
        <f aca="false">IF($C6="Banana",1,0)</f>
        <v>1</v>
      </c>
      <c r="K6" s="38" t="n">
        <f aca="false">IF($C6="Whey Protein",1,0)</f>
        <v>0</v>
      </c>
      <c r="L6" s="38" t="n">
        <f aca="false">IF(ISNUMBER(SEARCH("Copo",$C6)),1,0)</f>
        <v>0</v>
      </c>
    </row>
    <row r="7" customFormat="false" ht="15" hidden="false" customHeight="true" outlineLevel="0" collapsed="false">
      <c r="A7" s="29" t="s">
        <v>175</v>
      </c>
      <c r="B7" s="35" t="str">
        <f aca="false">IF($C7="","",IFERROR(INDEX(Insumos_Categoria,MATCH($C7,Insumos_Ingrediente,0)),""))</f>
        <v>Coberturas (30g)</v>
      </c>
      <c r="C7" s="29" t="s">
        <v>102</v>
      </c>
      <c r="D7" s="36" t="n">
        <v>30</v>
      </c>
      <c r="E7" s="35" t="str">
        <f aca="false">IF($C7="","",IFERROR(INDEX(Insumos_Unidade,MATCH($C7,Insumos_Ingrediente,0)),""))</f>
        <v>g</v>
      </c>
      <c r="F7" s="19" t="n">
        <f aca="false">IFERROR(INDEX(Insumos_CustoUnit,MATCH($C7,Insumos_Ingrediente,0)),0)</f>
        <v>0.02</v>
      </c>
      <c r="G7" s="19" t="n">
        <f aca="false">$D7*$F7</f>
        <v>0.6</v>
      </c>
      <c r="H7" s="37" t="n">
        <f aca="false">IF(OR($E7="g",$E7="ml"),$D7,0)</f>
        <v>30</v>
      </c>
      <c r="I7" s="38" t="n">
        <f aca="false">IF($C7="Açaí",1,0)</f>
        <v>0</v>
      </c>
      <c r="J7" s="38" t="n">
        <f aca="false">IF($C7="Banana",1,0)</f>
        <v>0</v>
      </c>
      <c r="K7" s="38" t="n">
        <f aca="false">IF($C7="Whey Protein",1,0)</f>
        <v>0</v>
      </c>
      <c r="L7" s="38" t="n">
        <f aca="false">IF(ISNUMBER(SEARCH("Copo",$C7)),1,0)</f>
        <v>0</v>
      </c>
    </row>
    <row r="8" customFormat="false" ht="15" hidden="false" customHeight="true" outlineLevel="0" collapsed="false">
      <c r="A8" s="29" t="s">
        <v>175</v>
      </c>
      <c r="B8" s="35" t="str">
        <f aca="false">IF($C8="","",IFERROR(INDEX(Insumos_Categoria,MATCH($C8,Insumos_Ingrediente,0)),""))</f>
        <v>Coberturas (30g)</v>
      </c>
      <c r="C8" s="29" t="s">
        <v>103</v>
      </c>
      <c r="D8" s="36" t="n">
        <v>30</v>
      </c>
      <c r="E8" s="35" t="str">
        <f aca="false">IF($C8="","",IFERROR(INDEX(Insumos_Unidade,MATCH($C8,Insumos_Ingrediente,0)),""))</f>
        <v>g</v>
      </c>
      <c r="F8" s="19" t="n">
        <f aca="false">IFERROR(INDEX(Insumos_CustoUnit,MATCH($C8,Insumos_Ingrediente,0)),0)</f>
        <v>0.01213</v>
      </c>
      <c r="G8" s="19" t="n">
        <f aca="false">$D8*$F8</f>
        <v>0.3639</v>
      </c>
      <c r="H8" s="37" t="n">
        <f aca="false">IF(OR($E8="g",$E8="ml"),$D8,0)</f>
        <v>30</v>
      </c>
      <c r="I8" s="38" t="n">
        <f aca="false">IF($C8="Açaí",1,0)</f>
        <v>0</v>
      </c>
      <c r="J8" s="38" t="n">
        <f aca="false">IF($C8="Banana",1,0)</f>
        <v>0</v>
      </c>
      <c r="K8" s="38" t="n">
        <f aca="false">IF($C8="Whey Protein",1,0)</f>
        <v>0</v>
      </c>
      <c r="L8" s="38" t="n">
        <f aca="false">IF(ISNUMBER(SEARCH("Copo",$C8)),1,0)</f>
        <v>0</v>
      </c>
    </row>
    <row r="9" customFormat="false" ht="15" hidden="false" customHeight="true" outlineLevel="0" collapsed="false">
      <c r="A9" s="29" t="s">
        <v>175</v>
      </c>
      <c r="B9" s="35" t="str">
        <f aca="false">IF($C9="","",IFERROR(INDEX(Insumos_Categoria,MATCH($C9,Insumos_Ingrediente,0)),""))</f>
        <v>Embalagens</v>
      </c>
      <c r="C9" s="29" t="s">
        <v>120</v>
      </c>
      <c r="D9" s="36" t="n">
        <v>1</v>
      </c>
      <c r="E9" s="35" t="str">
        <f aca="false">IF($C9="","",IFERROR(INDEX(Insumos_Unidade,MATCH($C9,Insumos_Ingrediente,0)),""))</f>
        <v>un</v>
      </c>
      <c r="F9" s="19" t="n">
        <f aca="false">IFERROR(INDEX(Insumos_CustoUnit,MATCH($C9,Insumos_Ingrediente,0)),0)</f>
        <v>0.1668</v>
      </c>
      <c r="G9" s="19" t="n">
        <f aca="false">$D9*$F9</f>
        <v>0.1668</v>
      </c>
      <c r="H9" s="38" t="n">
        <f aca="false">IF(OR($E9="g",$E9="ml"),$D9,0)</f>
        <v>0</v>
      </c>
      <c r="I9" s="38" t="n">
        <f aca="false">IF($C9="Açaí",1,0)</f>
        <v>0</v>
      </c>
      <c r="J9" s="38" t="n">
        <f aca="false">IF($C9="Banana",1,0)</f>
        <v>0</v>
      </c>
      <c r="K9" s="38" t="n">
        <f aca="false">IF($C9="Whey Protein",1,0)</f>
        <v>0</v>
      </c>
      <c r="L9" s="38" t="n">
        <f aca="false">IF(ISNUMBER(SEARCH("Copo",$C9)),1,0)</f>
        <v>1</v>
      </c>
    </row>
    <row r="10" customFormat="false" ht="15" hidden="false" customHeight="true" outlineLevel="0" collapsed="false">
      <c r="A10" s="29" t="s">
        <v>175</v>
      </c>
      <c r="B10" s="35" t="str">
        <f aca="false">IF($C10="","",IFERROR(INDEX(Insumos_Categoria,MATCH($C10,Insumos_Ingrediente,0)),""))</f>
        <v>Embalagens</v>
      </c>
      <c r="C10" s="29" t="s">
        <v>125</v>
      </c>
      <c r="D10" s="36" t="n">
        <v>1</v>
      </c>
      <c r="E10" s="35" t="str">
        <f aca="false">IF($C10="","",IFERROR(INDEX(Insumos_Unidade,MATCH($C10,Insumos_Ingrediente,0)),""))</f>
        <v>un</v>
      </c>
      <c r="F10" s="19" t="n">
        <f aca="false">IFERROR(INDEX(Insumos_CustoUnit,MATCH($C10,Insumos_Ingrediente,0)),0)</f>
        <v>0.0823</v>
      </c>
      <c r="G10" s="19" t="n">
        <f aca="false">$D10*$F10</f>
        <v>0.0823</v>
      </c>
      <c r="H10" s="38" t="n">
        <f aca="false">IF(OR($E10="g",$E10="ml"),$D10,0)</f>
        <v>0</v>
      </c>
      <c r="I10" s="38" t="n">
        <f aca="false">IF($C10="Açaí",1,0)</f>
        <v>0</v>
      </c>
      <c r="J10" s="38" t="n">
        <f aca="false">IF($C10="Banana",1,0)</f>
        <v>0</v>
      </c>
      <c r="K10" s="38" t="n">
        <f aca="false">IF($C10="Whey Protein",1,0)</f>
        <v>0</v>
      </c>
      <c r="L10" s="38" t="n">
        <f aca="false">IF(ISNUMBER(SEARCH("Copo",$C10)),1,0)</f>
        <v>0</v>
      </c>
    </row>
    <row r="11" customFormat="false" ht="15" hidden="false" customHeight="true" outlineLevel="0" collapsed="false">
      <c r="A11" s="29" t="s">
        <v>175</v>
      </c>
      <c r="B11" s="35" t="str">
        <f aca="false">IF($C11="","",IFERROR(INDEX(Insumos_Categoria,MATCH($C11,Insumos_Ingrediente,0)),""))</f>
        <v>Consumíveis</v>
      </c>
      <c r="C11" s="29" t="s">
        <v>141</v>
      </c>
      <c r="D11" s="36" t="n">
        <v>1</v>
      </c>
      <c r="E11" s="35" t="str">
        <f aca="false">IF($C11="","",IFERROR(INDEX(Insumos_Unidade,MATCH($C11,Insumos_Ingrediente,0)),""))</f>
        <v>un</v>
      </c>
      <c r="F11" s="19" t="n">
        <f aca="false">IFERROR(INDEX(Insumos_CustoUnit,MATCH($C11,Insumos_Ingrediente,0)),0)</f>
        <v>0.0938</v>
      </c>
      <c r="G11" s="19" t="n">
        <f aca="false">$D11*$F11</f>
        <v>0.0938</v>
      </c>
      <c r="H11" s="38" t="n">
        <f aca="false">IF(OR($E11="g",$E11="ml"),$D11,0)</f>
        <v>0</v>
      </c>
      <c r="I11" s="38" t="n">
        <f aca="false">IF($C11="Açaí",1,0)</f>
        <v>0</v>
      </c>
      <c r="J11" s="38" t="n">
        <f aca="false">IF($C11="Banana",1,0)</f>
        <v>0</v>
      </c>
      <c r="K11" s="38" t="n">
        <f aca="false">IF($C11="Whey Protein",1,0)</f>
        <v>0</v>
      </c>
      <c r="L11" s="38" t="n">
        <f aca="false">IF(ISNUMBER(SEARCH("Copo",$C11)),1,0)</f>
        <v>0</v>
      </c>
    </row>
    <row r="12" customFormat="false" ht="15" hidden="false" customHeight="true" outlineLevel="0" collapsed="false">
      <c r="A12" s="29" t="s">
        <v>175</v>
      </c>
      <c r="B12" s="35" t="str">
        <f aca="false">IF($C12="","",IFERROR(INDEX(Insumos_Categoria,MATCH($C12,Insumos_Ingrediente,0)),""))</f>
        <v>Consumíveis</v>
      </c>
      <c r="C12" s="29" t="s">
        <v>143</v>
      </c>
      <c r="D12" s="36" t="n">
        <v>1</v>
      </c>
      <c r="E12" s="35" t="str">
        <f aca="false">IF($C12="","",IFERROR(INDEX(Insumos_Unidade,MATCH($C12,Insumos_Ingrediente,0)),""))</f>
        <v>un</v>
      </c>
      <c r="F12" s="19" t="n">
        <f aca="false">IFERROR(INDEX(Insumos_CustoUnit,MATCH($C12,Insumos_Ingrediente,0)),0)</f>
        <v>0</v>
      </c>
      <c r="G12" s="19" t="n">
        <f aca="false">$D12*$F12</f>
        <v>0</v>
      </c>
      <c r="H12" s="38" t="n">
        <f aca="false">IF(OR($E12="g",$E12="ml"),$D12,0)</f>
        <v>0</v>
      </c>
      <c r="I12" s="38" t="n">
        <f aca="false">IF($C12="Açaí",1,0)</f>
        <v>0</v>
      </c>
      <c r="J12" s="38" t="n">
        <f aca="false">IF($C12="Banana",1,0)</f>
        <v>0</v>
      </c>
      <c r="K12" s="38" t="n">
        <f aca="false">IF($C12="Whey Protein",1,0)</f>
        <v>0</v>
      </c>
      <c r="L12" s="38" t="n">
        <f aca="false">IF(ISNUMBER(SEARCH("Copo",$C12)),1,0)</f>
        <v>0</v>
      </c>
    </row>
    <row r="13" customFormat="false" ht="15" hidden="false" customHeight="true" outlineLevel="0" collapsed="false">
      <c r="A13" s="29" t="s">
        <v>176</v>
      </c>
      <c r="B13" s="35" t="str">
        <f aca="false">IF($C13="","",IFERROR(INDEX(Insumos_Categoria,MATCH($C13,Insumos_Ingrediente,0)),""))</f>
        <v>Bases (Produção Própria)</v>
      </c>
      <c r="C13" s="29" t="s">
        <v>88</v>
      </c>
      <c r="D13" s="36" t="n">
        <v>270</v>
      </c>
      <c r="E13" s="35" t="str">
        <f aca="false">IF($C13="","",IFERROR(INDEX(Insumos_Unidade,MATCH($C13,Insumos_Ingrediente,0)),""))</f>
        <v>ml</v>
      </c>
      <c r="F13" s="19" t="n">
        <f aca="false">IFERROR(INDEX(Insumos_CustoUnit,MATCH($C13,Insumos_Ingrediente,0)),0)</f>
        <v>0.0165</v>
      </c>
      <c r="G13" s="19" t="n">
        <f aca="false">$D13*$F13</f>
        <v>4.455</v>
      </c>
      <c r="H13" s="37" t="n">
        <f aca="false">IF(OR($E13="g",$E13="ml"),$D13,0)</f>
        <v>270</v>
      </c>
      <c r="I13" s="38" t="n">
        <f aca="false">IF($C13="Açaí",1,0)</f>
        <v>1</v>
      </c>
      <c r="J13" s="38" t="n">
        <f aca="false">IF($C13="Banana",1,0)</f>
        <v>0</v>
      </c>
      <c r="K13" s="38" t="n">
        <f aca="false">IF($C13="Whey Protein",1,0)</f>
        <v>0</v>
      </c>
      <c r="L13" s="38" t="n">
        <f aca="false">IF(ISNUMBER(SEARCH("Copo",$C13)),1,0)</f>
        <v>0</v>
      </c>
    </row>
    <row r="14" customFormat="false" ht="15" hidden="false" customHeight="true" outlineLevel="0" collapsed="false">
      <c r="A14" s="29" t="s">
        <v>176</v>
      </c>
      <c r="B14" s="35" t="str">
        <f aca="false">IF($C14="","",IFERROR(INDEX(Insumos_Categoria,MATCH($C14,Insumos_Ingrediente,0)),""))</f>
        <v>Coberturas (30g)</v>
      </c>
      <c r="C14" s="29" t="s">
        <v>100</v>
      </c>
      <c r="D14" s="36" t="n">
        <v>30</v>
      </c>
      <c r="E14" s="35" t="str">
        <f aca="false">IF($C14="","",IFERROR(INDEX(Insumos_Unidade,MATCH($C14,Insumos_Ingrediente,0)),""))</f>
        <v>g</v>
      </c>
      <c r="F14" s="19" t="n">
        <f aca="false">IFERROR(INDEX(Insumos_CustoUnit,MATCH($C14,Insumos_Ingrediente,0)),0)</f>
        <v>0.00230769230769231</v>
      </c>
      <c r="G14" s="19" t="n">
        <f aca="false">$D14*$F14</f>
        <v>0.0692307692307692</v>
      </c>
      <c r="H14" s="37" t="n">
        <f aca="false">IF(OR($E14="g",$E14="ml"),$D14,0)</f>
        <v>30</v>
      </c>
      <c r="I14" s="38" t="n">
        <f aca="false">IF($C14="Açaí",1,0)</f>
        <v>0</v>
      </c>
      <c r="J14" s="38" t="n">
        <f aca="false">IF($C14="Banana",1,0)</f>
        <v>1</v>
      </c>
      <c r="K14" s="38" t="n">
        <f aca="false">IF($C14="Whey Protein",1,0)</f>
        <v>0</v>
      </c>
      <c r="L14" s="38" t="n">
        <f aca="false">IF(ISNUMBER(SEARCH("Copo",$C14)),1,0)</f>
        <v>0</v>
      </c>
    </row>
    <row r="15" customFormat="false" ht="15" hidden="false" customHeight="true" outlineLevel="0" collapsed="false">
      <c r="A15" s="29" t="s">
        <v>176</v>
      </c>
      <c r="B15" s="35" t="str">
        <f aca="false">IF($C15="","",IFERROR(INDEX(Insumos_Categoria,MATCH($C15,Insumos_Ingrediente,0)),""))</f>
        <v>Coberturas (30g)</v>
      </c>
      <c r="C15" s="29" t="s">
        <v>102</v>
      </c>
      <c r="D15" s="36" t="n">
        <v>30</v>
      </c>
      <c r="E15" s="35" t="str">
        <f aca="false">IF($C15="","",IFERROR(INDEX(Insumos_Unidade,MATCH($C15,Insumos_Ingrediente,0)),""))</f>
        <v>g</v>
      </c>
      <c r="F15" s="19" t="n">
        <f aca="false">IFERROR(INDEX(Insumos_CustoUnit,MATCH($C15,Insumos_Ingrediente,0)),0)</f>
        <v>0.02</v>
      </c>
      <c r="G15" s="19" t="n">
        <f aca="false">$D15*$F15</f>
        <v>0.6</v>
      </c>
      <c r="H15" s="37" t="n">
        <f aca="false">IF(OR($E15="g",$E15="ml"),$D15,0)</f>
        <v>30</v>
      </c>
      <c r="I15" s="38" t="n">
        <f aca="false">IF($C15="Açaí",1,0)</f>
        <v>0</v>
      </c>
      <c r="J15" s="38" t="n">
        <f aca="false">IF($C15="Banana",1,0)</f>
        <v>0</v>
      </c>
      <c r="K15" s="38" t="n">
        <f aca="false">IF($C15="Whey Protein",1,0)</f>
        <v>0</v>
      </c>
      <c r="L15" s="38" t="n">
        <f aca="false">IF(ISNUMBER(SEARCH("Copo",$C15)),1,0)</f>
        <v>0</v>
      </c>
    </row>
    <row r="16" customFormat="false" ht="15" hidden="false" customHeight="true" outlineLevel="0" collapsed="false">
      <c r="A16" s="29" t="s">
        <v>176</v>
      </c>
      <c r="B16" s="35" t="str">
        <f aca="false">IF($C16="","",IFERROR(INDEX(Insumos_Categoria,MATCH($C16,Insumos_Ingrediente,0)),""))</f>
        <v>Coberturas (30g)</v>
      </c>
      <c r="C16" s="29" t="s">
        <v>103</v>
      </c>
      <c r="D16" s="36" t="n">
        <v>30</v>
      </c>
      <c r="E16" s="35" t="str">
        <f aca="false">IF($C16="","",IFERROR(INDEX(Insumos_Unidade,MATCH($C16,Insumos_Ingrediente,0)),""))</f>
        <v>g</v>
      </c>
      <c r="F16" s="19" t="n">
        <f aca="false">IFERROR(INDEX(Insumos_CustoUnit,MATCH($C16,Insumos_Ingrediente,0)),0)</f>
        <v>0.01213</v>
      </c>
      <c r="G16" s="19" t="n">
        <f aca="false">$D16*$F16</f>
        <v>0.3639</v>
      </c>
      <c r="H16" s="37" t="n">
        <f aca="false">IF(OR($E16="g",$E16="ml"),$D16,0)</f>
        <v>30</v>
      </c>
      <c r="I16" s="38" t="n">
        <f aca="false">IF($C16="Açaí",1,0)</f>
        <v>0</v>
      </c>
      <c r="J16" s="38" t="n">
        <f aca="false">IF($C16="Banana",1,0)</f>
        <v>0</v>
      </c>
      <c r="K16" s="38" t="n">
        <f aca="false">IF($C16="Whey Protein",1,0)</f>
        <v>0</v>
      </c>
      <c r="L16" s="38" t="n">
        <f aca="false">IF(ISNUMBER(SEARCH("Copo",$C16)),1,0)</f>
        <v>0</v>
      </c>
    </row>
    <row r="17" customFormat="false" ht="15" hidden="false" customHeight="true" outlineLevel="0" collapsed="false">
      <c r="A17" s="29" t="s">
        <v>176</v>
      </c>
      <c r="B17" s="35" t="str">
        <f aca="false">IF($C17="","",IFERROR(INDEX(Insumos_Categoria,MATCH($C17,Insumos_Ingrediente,0)),""))</f>
        <v>Embalagens</v>
      </c>
      <c r="C17" s="29" t="s">
        <v>123</v>
      </c>
      <c r="D17" s="36" t="n">
        <v>1</v>
      </c>
      <c r="E17" s="35" t="str">
        <f aca="false">IF($C17="","",IFERROR(INDEX(Insumos_Unidade,MATCH($C17,Insumos_Ingrediente,0)),""))</f>
        <v>un</v>
      </c>
      <c r="F17" s="19" t="n">
        <f aca="false">IFERROR(INDEX(Insumos_CustoUnit,MATCH($C17,Insumos_Ingrediente,0)),0)</f>
        <v>0.15372</v>
      </c>
      <c r="G17" s="19" t="n">
        <f aca="false">$D17*$F17</f>
        <v>0.15372</v>
      </c>
      <c r="H17" s="38" t="n">
        <f aca="false">IF(OR($E17="g",$E17="ml"),$D17,0)</f>
        <v>0</v>
      </c>
      <c r="I17" s="38" t="n">
        <f aca="false">IF($C17="Açaí",1,0)</f>
        <v>0</v>
      </c>
      <c r="J17" s="38" t="n">
        <f aca="false">IF($C17="Banana",1,0)</f>
        <v>0</v>
      </c>
      <c r="K17" s="38" t="n">
        <f aca="false">IF($C17="Whey Protein",1,0)</f>
        <v>0</v>
      </c>
      <c r="L17" s="38" t="n">
        <f aca="false">IF(ISNUMBER(SEARCH("Copo",$C17)),1,0)</f>
        <v>1</v>
      </c>
    </row>
    <row r="18" customFormat="false" ht="15" hidden="false" customHeight="true" outlineLevel="0" collapsed="false">
      <c r="A18" s="29" t="s">
        <v>176</v>
      </c>
      <c r="B18" s="35" t="str">
        <f aca="false">IF($C18="","",IFERROR(INDEX(Insumos_Categoria,MATCH($C18,Insumos_Ingrediente,0)),""))</f>
        <v>Embalagens</v>
      </c>
      <c r="C18" s="29" t="s">
        <v>126</v>
      </c>
      <c r="D18" s="36" t="n">
        <v>1</v>
      </c>
      <c r="E18" s="35" t="str">
        <f aca="false">IF($C18="","",IFERROR(INDEX(Insumos_Unidade,MATCH($C18,Insumos_Ingrediente,0)),""))</f>
        <v>un</v>
      </c>
      <c r="F18" s="19" t="n">
        <f aca="false">IFERROR(INDEX(Insumos_CustoUnit,MATCH($C18,Insumos_Ingrediente,0)),0)</f>
        <v>0.0823</v>
      </c>
      <c r="G18" s="19" t="n">
        <f aca="false">$D18*$F18</f>
        <v>0.0823</v>
      </c>
      <c r="H18" s="38" t="n">
        <f aca="false">IF(OR($E18="g",$E18="ml"),$D18,0)</f>
        <v>0</v>
      </c>
      <c r="I18" s="38" t="n">
        <f aca="false">IF($C18="Açaí",1,0)</f>
        <v>0</v>
      </c>
      <c r="J18" s="38" t="n">
        <f aca="false">IF($C18="Banana",1,0)</f>
        <v>0</v>
      </c>
      <c r="K18" s="38" t="n">
        <f aca="false">IF($C18="Whey Protein",1,0)</f>
        <v>0</v>
      </c>
      <c r="L18" s="38" t="n">
        <f aca="false">IF(ISNUMBER(SEARCH("Copo",$C18)),1,0)</f>
        <v>0</v>
      </c>
    </row>
    <row r="19" customFormat="false" ht="15" hidden="false" customHeight="true" outlineLevel="0" collapsed="false">
      <c r="A19" s="29" t="s">
        <v>176</v>
      </c>
      <c r="B19" s="35" t="str">
        <f aca="false">IF($C19="","",IFERROR(INDEX(Insumos_Categoria,MATCH($C19,Insumos_Ingrediente,0)),""))</f>
        <v>Consumíveis</v>
      </c>
      <c r="C19" s="29" t="s">
        <v>141</v>
      </c>
      <c r="D19" s="36" t="n">
        <v>1</v>
      </c>
      <c r="E19" s="35" t="str">
        <f aca="false">IF($C19="","",IFERROR(INDEX(Insumos_Unidade,MATCH($C19,Insumos_Ingrediente,0)),""))</f>
        <v>un</v>
      </c>
      <c r="F19" s="19" t="n">
        <f aca="false">IFERROR(INDEX(Insumos_CustoUnit,MATCH($C19,Insumos_Ingrediente,0)),0)</f>
        <v>0.0938</v>
      </c>
      <c r="G19" s="19" t="n">
        <f aca="false">$D19*$F19</f>
        <v>0.0938</v>
      </c>
      <c r="H19" s="38" t="n">
        <f aca="false">IF(OR($E19="g",$E19="ml"),$D19,0)</f>
        <v>0</v>
      </c>
      <c r="I19" s="38" t="n">
        <f aca="false">IF($C19="Açaí",1,0)</f>
        <v>0</v>
      </c>
      <c r="J19" s="38" t="n">
        <f aca="false">IF($C19="Banana",1,0)</f>
        <v>0</v>
      </c>
      <c r="K19" s="38" t="n">
        <f aca="false">IF($C19="Whey Protein",1,0)</f>
        <v>0</v>
      </c>
      <c r="L19" s="38" t="n">
        <f aca="false">IF(ISNUMBER(SEARCH("Copo",$C19)),1,0)</f>
        <v>0</v>
      </c>
    </row>
    <row r="20" customFormat="false" ht="15" hidden="false" customHeight="true" outlineLevel="0" collapsed="false">
      <c r="A20" s="29" t="s">
        <v>176</v>
      </c>
      <c r="B20" s="35" t="str">
        <f aca="false">IF($C20="","",IFERROR(INDEX(Insumos_Categoria,MATCH($C20,Insumos_Ingrediente,0)),""))</f>
        <v>Consumíveis</v>
      </c>
      <c r="C20" s="29" t="s">
        <v>143</v>
      </c>
      <c r="D20" s="36" t="n">
        <v>1</v>
      </c>
      <c r="E20" s="35" t="str">
        <f aca="false">IF($C20="","",IFERROR(INDEX(Insumos_Unidade,MATCH($C20,Insumos_Ingrediente,0)),""))</f>
        <v>un</v>
      </c>
      <c r="F20" s="19" t="n">
        <f aca="false">IFERROR(INDEX(Insumos_CustoUnit,MATCH($C20,Insumos_Ingrediente,0)),0)</f>
        <v>0</v>
      </c>
      <c r="G20" s="19" t="n">
        <f aca="false">$D20*$F20</f>
        <v>0</v>
      </c>
      <c r="H20" s="38" t="n">
        <f aca="false">IF(OR($E20="g",$E20="ml"),$D20,0)</f>
        <v>0</v>
      </c>
      <c r="I20" s="38" t="n">
        <f aca="false">IF($C20="Açaí",1,0)</f>
        <v>0</v>
      </c>
      <c r="J20" s="38" t="n">
        <f aca="false">IF($C20="Banana",1,0)</f>
        <v>0</v>
      </c>
      <c r="K20" s="38" t="n">
        <f aca="false">IF($C20="Whey Protein",1,0)</f>
        <v>0</v>
      </c>
      <c r="L20" s="38" t="n">
        <f aca="false">IF(ISNUMBER(SEARCH("Copo",$C20)),1,0)</f>
        <v>0</v>
      </c>
    </row>
    <row r="21" customFormat="false" ht="15" hidden="false" customHeight="true" outlineLevel="0" collapsed="false">
      <c r="A21" s="29" t="s">
        <v>177</v>
      </c>
      <c r="B21" s="35" t="str">
        <f aca="false">IF($C21="","",IFERROR(INDEX(Insumos_Categoria,MATCH($C21,Insumos_Ingrediente,0)),""))</f>
        <v>Bases (Produção Própria)</v>
      </c>
      <c r="C21" s="29" t="s">
        <v>88</v>
      </c>
      <c r="D21" s="36" t="n">
        <v>470</v>
      </c>
      <c r="E21" s="35" t="str">
        <f aca="false">IF($C21="","",IFERROR(INDEX(Insumos_Unidade,MATCH($C21,Insumos_Ingrediente,0)),""))</f>
        <v>ml</v>
      </c>
      <c r="F21" s="19" t="n">
        <f aca="false">IFERROR(INDEX(Insumos_CustoUnit,MATCH($C21,Insumos_Ingrediente,0)),0)</f>
        <v>0.0165</v>
      </c>
      <c r="G21" s="19" t="n">
        <f aca="false">$D21*$F21</f>
        <v>7.755</v>
      </c>
      <c r="H21" s="37" t="n">
        <f aca="false">IF(OR($E21="g",$E21="ml"),$D21,0)</f>
        <v>470</v>
      </c>
      <c r="I21" s="38" t="n">
        <f aca="false">IF($C21="Açaí",1,0)</f>
        <v>1</v>
      </c>
      <c r="J21" s="38" t="n">
        <f aca="false">IF($C21="Banana",1,0)</f>
        <v>0</v>
      </c>
      <c r="K21" s="38" t="n">
        <f aca="false">IF($C21="Whey Protein",1,0)</f>
        <v>0</v>
      </c>
      <c r="L21" s="38" t="n">
        <f aca="false">IF(ISNUMBER(SEARCH("Copo",$C21)),1,0)</f>
        <v>0</v>
      </c>
    </row>
    <row r="22" customFormat="false" ht="15" hidden="false" customHeight="true" outlineLevel="0" collapsed="false">
      <c r="A22" s="29" t="s">
        <v>177</v>
      </c>
      <c r="B22" s="35" t="str">
        <f aca="false">IF($C22="","",IFERROR(INDEX(Insumos_Categoria,MATCH($C22,Insumos_Ingrediente,0)),""))</f>
        <v>Coberturas (30g)</v>
      </c>
      <c r="C22" s="29" t="s">
        <v>100</v>
      </c>
      <c r="D22" s="36" t="n">
        <v>30</v>
      </c>
      <c r="E22" s="35" t="str">
        <f aca="false">IF($C22="","",IFERROR(INDEX(Insumos_Unidade,MATCH($C22,Insumos_Ingrediente,0)),""))</f>
        <v>g</v>
      </c>
      <c r="F22" s="19" t="n">
        <f aca="false">IFERROR(INDEX(Insumos_CustoUnit,MATCH($C22,Insumos_Ingrediente,0)),0)</f>
        <v>0.00230769230769231</v>
      </c>
      <c r="G22" s="19" t="n">
        <f aca="false">$D22*$F22</f>
        <v>0.0692307692307692</v>
      </c>
      <c r="H22" s="37" t="n">
        <f aca="false">IF(OR($E22="g",$E22="ml"),$D22,0)</f>
        <v>30</v>
      </c>
      <c r="I22" s="38" t="n">
        <f aca="false">IF($C22="Açaí",1,0)</f>
        <v>0</v>
      </c>
      <c r="J22" s="38" t="n">
        <f aca="false">IF($C22="Banana",1,0)</f>
        <v>1</v>
      </c>
      <c r="K22" s="38" t="n">
        <f aca="false">IF($C22="Whey Protein",1,0)</f>
        <v>0</v>
      </c>
      <c r="L22" s="38" t="n">
        <f aca="false">IF(ISNUMBER(SEARCH("Copo",$C22)),1,0)</f>
        <v>0</v>
      </c>
    </row>
    <row r="23" customFormat="false" ht="15" hidden="false" customHeight="true" outlineLevel="0" collapsed="false">
      <c r="A23" s="29" t="s">
        <v>177</v>
      </c>
      <c r="B23" s="35" t="str">
        <f aca="false">IF($C23="","",IFERROR(INDEX(Insumos_Categoria,MATCH($C23,Insumos_Ingrediente,0)),""))</f>
        <v>Coberturas (30g)</v>
      </c>
      <c r="C23" s="29" t="s">
        <v>102</v>
      </c>
      <c r="D23" s="36" t="n">
        <v>30</v>
      </c>
      <c r="E23" s="35" t="str">
        <f aca="false">IF($C23="","",IFERROR(INDEX(Insumos_Unidade,MATCH($C23,Insumos_Ingrediente,0)),""))</f>
        <v>g</v>
      </c>
      <c r="F23" s="19" t="n">
        <f aca="false">IFERROR(INDEX(Insumos_CustoUnit,MATCH($C23,Insumos_Ingrediente,0)),0)</f>
        <v>0.02</v>
      </c>
      <c r="G23" s="19" t="n">
        <f aca="false">$D23*$F23</f>
        <v>0.6</v>
      </c>
      <c r="H23" s="37" t="n">
        <f aca="false">IF(OR($E23="g",$E23="ml"),$D23,0)</f>
        <v>30</v>
      </c>
      <c r="I23" s="38" t="n">
        <f aca="false">IF($C23="Açaí",1,0)</f>
        <v>0</v>
      </c>
      <c r="J23" s="38" t="n">
        <f aca="false">IF($C23="Banana",1,0)</f>
        <v>0</v>
      </c>
      <c r="K23" s="38" t="n">
        <f aca="false">IF($C23="Whey Protein",1,0)</f>
        <v>0</v>
      </c>
      <c r="L23" s="38" t="n">
        <f aca="false">IF(ISNUMBER(SEARCH("Copo",$C23)),1,0)</f>
        <v>0</v>
      </c>
    </row>
    <row r="24" customFormat="false" ht="15" hidden="false" customHeight="true" outlineLevel="0" collapsed="false">
      <c r="A24" s="29" t="s">
        <v>177</v>
      </c>
      <c r="B24" s="35" t="str">
        <f aca="false">IF($C24="","",IFERROR(INDEX(Insumos_Categoria,MATCH($C24,Insumos_Ingrediente,0)),""))</f>
        <v>Coberturas (30g)</v>
      </c>
      <c r="C24" s="29" t="s">
        <v>103</v>
      </c>
      <c r="D24" s="36" t="n">
        <v>30</v>
      </c>
      <c r="E24" s="35" t="str">
        <f aca="false">IF($C24="","",IFERROR(INDEX(Insumos_Unidade,MATCH($C24,Insumos_Ingrediente,0)),""))</f>
        <v>g</v>
      </c>
      <c r="F24" s="19" t="n">
        <f aca="false">IFERROR(INDEX(Insumos_CustoUnit,MATCH($C24,Insumos_Ingrediente,0)),0)</f>
        <v>0.01213</v>
      </c>
      <c r="G24" s="19" t="n">
        <f aca="false">$D24*$F24</f>
        <v>0.3639</v>
      </c>
      <c r="H24" s="37" t="n">
        <f aca="false">IF(OR($E24="g",$E24="ml"),$D24,0)</f>
        <v>30</v>
      </c>
      <c r="I24" s="38" t="n">
        <f aca="false">IF($C24="Açaí",1,0)</f>
        <v>0</v>
      </c>
      <c r="J24" s="38" t="n">
        <f aca="false">IF($C24="Banana",1,0)</f>
        <v>0</v>
      </c>
      <c r="K24" s="38" t="n">
        <f aca="false">IF($C24="Whey Protein",1,0)</f>
        <v>0</v>
      </c>
      <c r="L24" s="38" t="n">
        <f aca="false">IF(ISNUMBER(SEARCH("Copo",$C24)),1,0)</f>
        <v>0</v>
      </c>
    </row>
    <row r="25" customFormat="false" ht="15" hidden="false" customHeight="true" outlineLevel="0" collapsed="false">
      <c r="A25" s="29" t="s">
        <v>177</v>
      </c>
      <c r="B25" s="35" t="str">
        <f aca="false">IF($C25="","",IFERROR(INDEX(Insumos_Categoria,MATCH($C25,Insumos_Ingrediente,0)),""))</f>
        <v>Embalagens</v>
      </c>
      <c r="C25" s="29" t="s">
        <v>124</v>
      </c>
      <c r="D25" s="36" t="n">
        <v>1</v>
      </c>
      <c r="E25" s="35" t="str">
        <f aca="false">IF($C25="","",IFERROR(INDEX(Insumos_Unidade,MATCH($C25,Insumos_Ingrediente,0)),""))</f>
        <v>un</v>
      </c>
      <c r="F25" s="19" t="n">
        <f aca="false">IFERROR(INDEX(Insumos_CustoUnit,MATCH($C25,Insumos_Ingrediente,0)),0)</f>
        <v>0.24365</v>
      </c>
      <c r="G25" s="19" t="n">
        <f aca="false">$D25*$F25</f>
        <v>0.24365</v>
      </c>
      <c r="H25" s="38" t="n">
        <f aca="false">IF(OR($E25="g",$E25="ml"),$D25,0)</f>
        <v>0</v>
      </c>
      <c r="I25" s="38" t="n">
        <f aca="false">IF($C25="Açaí",1,0)</f>
        <v>0</v>
      </c>
      <c r="J25" s="38" t="n">
        <f aca="false">IF($C25="Banana",1,0)</f>
        <v>0</v>
      </c>
      <c r="K25" s="38" t="n">
        <f aca="false">IF($C25="Whey Protein",1,0)</f>
        <v>0</v>
      </c>
      <c r="L25" s="38" t="n">
        <f aca="false">IF(ISNUMBER(SEARCH("Copo",$C25)),1,0)</f>
        <v>1</v>
      </c>
    </row>
    <row r="26" customFormat="false" ht="15" hidden="false" customHeight="true" outlineLevel="0" collapsed="false">
      <c r="A26" s="29" t="s">
        <v>177</v>
      </c>
      <c r="B26" s="35" t="str">
        <f aca="false">IF($C26="","",IFERROR(INDEX(Insumos_Categoria,MATCH($C26,Insumos_Ingrediente,0)),""))</f>
        <v>Embalagens</v>
      </c>
      <c r="C26" s="29" t="s">
        <v>127</v>
      </c>
      <c r="D26" s="36" t="n">
        <v>1</v>
      </c>
      <c r="E26" s="35" t="str">
        <f aca="false">IF($C26="","",IFERROR(INDEX(Insumos_Unidade,MATCH($C26,Insumos_Ingrediente,0)),""))</f>
        <v>un</v>
      </c>
      <c r="F26" s="19" t="n">
        <f aca="false">IFERROR(INDEX(Insumos_CustoUnit,MATCH($C26,Insumos_Ingrediente,0)),0)</f>
        <v>0.0923</v>
      </c>
      <c r="G26" s="19" t="n">
        <f aca="false">$D26*$F26</f>
        <v>0.0923</v>
      </c>
      <c r="H26" s="38" t="n">
        <f aca="false">IF(OR($E26="g",$E26="ml"),$D26,0)</f>
        <v>0</v>
      </c>
      <c r="I26" s="38" t="n">
        <f aca="false">IF($C26="Açaí",1,0)</f>
        <v>0</v>
      </c>
      <c r="J26" s="38" t="n">
        <f aca="false">IF($C26="Banana",1,0)</f>
        <v>0</v>
      </c>
      <c r="K26" s="38" t="n">
        <f aca="false">IF($C26="Whey Protein",1,0)</f>
        <v>0</v>
      </c>
      <c r="L26" s="38" t="n">
        <f aca="false">IF(ISNUMBER(SEARCH("Copo",$C26)),1,0)</f>
        <v>0</v>
      </c>
    </row>
    <row r="27" customFormat="false" ht="15" hidden="false" customHeight="true" outlineLevel="0" collapsed="false">
      <c r="A27" s="29" t="s">
        <v>177</v>
      </c>
      <c r="B27" s="35" t="str">
        <f aca="false">IF($C27="","",IFERROR(INDEX(Insumos_Categoria,MATCH($C27,Insumos_Ingrediente,0)),""))</f>
        <v>Consumíveis</v>
      </c>
      <c r="C27" s="29" t="s">
        <v>141</v>
      </c>
      <c r="D27" s="36" t="n">
        <v>1</v>
      </c>
      <c r="E27" s="35" t="str">
        <f aca="false">IF($C27="","",IFERROR(INDEX(Insumos_Unidade,MATCH($C27,Insumos_Ingrediente,0)),""))</f>
        <v>un</v>
      </c>
      <c r="F27" s="19" t="n">
        <f aca="false">IFERROR(INDEX(Insumos_CustoUnit,MATCH($C27,Insumos_Ingrediente,0)),0)</f>
        <v>0.0938</v>
      </c>
      <c r="G27" s="19" t="n">
        <f aca="false">$D27*$F27</f>
        <v>0.0938</v>
      </c>
      <c r="H27" s="38" t="n">
        <f aca="false">IF(OR($E27="g",$E27="ml"),$D27,0)</f>
        <v>0</v>
      </c>
      <c r="I27" s="38" t="n">
        <f aca="false">IF($C27="Açaí",1,0)</f>
        <v>0</v>
      </c>
      <c r="J27" s="38" t="n">
        <f aca="false">IF($C27="Banana",1,0)</f>
        <v>0</v>
      </c>
      <c r="K27" s="38" t="n">
        <f aca="false">IF($C27="Whey Protein",1,0)</f>
        <v>0</v>
      </c>
      <c r="L27" s="38" t="n">
        <f aca="false">IF(ISNUMBER(SEARCH("Copo",$C27)),1,0)</f>
        <v>0</v>
      </c>
    </row>
    <row r="28" customFormat="false" ht="15" hidden="false" customHeight="true" outlineLevel="0" collapsed="false">
      <c r="A28" s="29" t="s">
        <v>177</v>
      </c>
      <c r="B28" s="35" t="str">
        <f aca="false">IF($C28="","",IFERROR(INDEX(Insumos_Categoria,MATCH($C28,Insumos_Ingrediente,0)),""))</f>
        <v>Consumíveis</v>
      </c>
      <c r="C28" s="29" t="s">
        <v>143</v>
      </c>
      <c r="D28" s="36" t="n">
        <v>1</v>
      </c>
      <c r="E28" s="35" t="str">
        <f aca="false">IF($C28="","",IFERROR(INDEX(Insumos_Unidade,MATCH($C28,Insumos_Ingrediente,0)),""))</f>
        <v>un</v>
      </c>
      <c r="F28" s="19" t="n">
        <f aca="false">IFERROR(INDEX(Insumos_CustoUnit,MATCH($C28,Insumos_Ingrediente,0)),0)</f>
        <v>0</v>
      </c>
      <c r="G28" s="19" t="n">
        <f aca="false">$D28*$F28</f>
        <v>0</v>
      </c>
      <c r="H28" s="38" t="n">
        <f aca="false">IF(OR($E28="g",$E28="ml"),$D28,0)</f>
        <v>0</v>
      </c>
      <c r="I28" s="38" t="n">
        <f aca="false">IF($C28="Açaí",1,0)</f>
        <v>0</v>
      </c>
      <c r="J28" s="38" t="n">
        <f aca="false">IF($C28="Banana",1,0)</f>
        <v>0</v>
      </c>
      <c r="K28" s="38" t="n">
        <f aca="false">IF($C28="Whey Protein",1,0)</f>
        <v>0</v>
      </c>
      <c r="L28" s="38" t="n">
        <f aca="false">IF(ISNUMBER(SEARCH("Copo",$C28)),1,0)</f>
        <v>0</v>
      </c>
    </row>
    <row r="29" customFormat="false" ht="15" hidden="false" customHeight="true" outlineLevel="0" collapsed="false">
      <c r="A29" s="29" t="s">
        <v>178</v>
      </c>
      <c r="B29" s="35" t="str">
        <f aca="false">IF($C29="","",IFERROR(INDEX(Insumos_Categoria,MATCH($C29,Insumos_Ingrediente,0)),""))</f>
        <v>Bases (Produção Própria)</v>
      </c>
      <c r="C29" s="29" t="s">
        <v>88</v>
      </c>
      <c r="D29" s="36" t="n">
        <v>170</v>
      </c>
      <c r="E29" s="35" t="str">
        <f aca="false">IF($C29="","",IFERROR(INDEX(Insumos_Unidade,MATCH($C29,Insumos_Ingrediente,0)),""))</f>
        <v>ml</v>
      </c>
      <c r="F29" s="19" t="n">
        <f aca="false">IFERROR(INDEX(Insumos_CustoUnit,MATCH($C29,Insumos_Ingrediente,0)),0)</f>
        <v>0.0165</v>
      </c>
      <c r="G29" s="19" t="n">
        <f aca="false">$D29*$F29</f>
        <v>2.805</v>
      </c>
      <c r="H29" s="37" t="n">
        <f aca="false">IF(OR($E29="g",$E29="ml"),$D29,0)</f>
        <v>170</v>
      </c>
      <c r="I29" s="38" t="n">
        <f aca="false">IF($C29="Açaí",1,0)</f>
        <v>1</v>
      </c>
      <c r="J29" s="38" t="n">
        <f aca="false">IF($C29="Banana",1,0)</f>
        <v>0</v>
      </c>
      <c r="K29" s="38" t="n">
        <f aca="false">IF($C29="Whey Protein",1,0)</f>
        <v>0</v>
      </c>
      <c r="L29" s="38" t="n">
        <f aca="false">IF(ISNUMBER(SEARCH("Copo",$C29)),1,0)</f>
        <v>0</v>
      </c>
    </row>
    <row r="30" customFormat="false" ht="15" hidden="false" customHeight="true" outlineLevel="0" collapsed="false">
      <c r="A30" s="29" t="s">
        <v>178</v>
      </c>
      <c r="B30" s="35" t="str">
        <f aca="false">IF($C30="","",IFERROR(INDEX(Insumos_Categoria,MATCH($C30,Insumos_Ingrediente,0)),""))</f>
        <v>Coberturas (30g)</v>
      </c>
      <c r="C30" s="29" t="s">
        <v>100</v>
      </c>
      <c r="D30" s="36" t="n">
        <v>30</v>
      </c>
      <c r="E30" s="35" t="str">
        <f aca="false">IF($C30="","",IFERROR(INDEX(Insumos_Unidade,MATCH($C30,Insumos_Ingrediente,0)),""))</f>
        <v>g</v>
      </c>
      <c r="F30" s="19" t="n">
        <f aca="false">IFERROR(INDEX(Insumos_CustoUnit,MATCH($C30,Insumos_Ingrediente,0)),0)</f>
        <v>0.00230769230769231</v>
      </c>
      <c r="G30" s="19" t="n">
        <f aca="false">$D30*$F30</f>
        <v>0.0692307692307692</v>
      </c>
      <c r="H30" s="37" t="n">
        <f aca="false">IF(OR($E30="g",$E30="ml"),$D30,0)</f>
        <v>30</v>
      </c>
      <c r="I30" s="38" t="n">
        <f aca="false">IF($C30="Açaí",1,0)</f>
        <v>0</v>
      </c>
      <c r="J30" s="38" t="n">
        <f aca="false">IF($C30="Banana",1,0)</f>
        <v>1</v>
      </c>
      <c r="K30" s="38" t="n">
        <f aca="false">IF($C30="Whey Protein",1,0)</f>
        <v>0</v>
      </c>
      <c r="L30" s="38" t="n">
        <f aca="false">IF(ISNUMBER(SEARCH("Copo",$C30)),1,0)</f>
        <v>0</v>
      </c>
    </row>
    <row r="31" customFormat="false" ht="15" hidden="false" customHeight="true" outlineLevel="0" collapsed="false">
      <c r="A31" s="29" t="s">
        <v>178</v>
      </c>
      <c r="B31" s="35" t="str">
        <f aca="false">IF($C31="","",IFERROR(INDEX(Insumos_Categoria,MATCH($C31,Insumos_Ingrediente,0)),""))</f>
        <v>Coberturas (30g)</v>
      </c>
      <c r="C31" s="29" t="s">
        <v>96</v>
      </c>
      <c r="D31" s="36" t="n">
        <v>30</v>
      </c>
      <c r="E31" s="35" t="str">
        <f aca="false">IF($C31="","",IFERROR(INDEX(Insumos_Unidade,MATCH($C31,Insumos_Ingrediente,0)),""))</f>
        <v>g</v>
      </c>
      <c r="F31" s="19" t="n">
        <f aca="false">IFERROR(INDEX(Insumos_CustoUnit,MATCH($C31,Insumos_Ingrediente,0)),0)</f>
        <v>0.03355</v>
      </c>
      <c r="G31" s="19" t="n">
        <f aca="false">$D31*$F31</f>
        <v>1.0065</v>
      </c>
      <c r="H31" s="37" t="n">
        <f aca="false">IF(OR($E31="g",$E31="ml"),$D31,0)</f>
        <v>30</v>
      </c>
      <c r="I31" s="38" t="n">
        <f aca="false">IF($C31="Açaí",1,0)</f>
        <v>0</v>
      </c>
      <c r="J31" s="38" t="n">
        <f aca="false">IF($C31="Banana",1,0)</f>
        <v>0</v>
      </c>
      <c r="K31" s="38" t="n">
        <f aca="false">IF($C31="Whey Protein",1,0)</f>
        <v>0</v>
      </c>
      <c r="L31" s="38" t="n">
        <f aca="false">IF(ISNUMBER(SEARCH("Copo",$C31)),1,0)</f>
        <v>0</v>
      </c>
    </row>
    <row r="32" customFormat="false" ht="15" hidden="false" customHeight="true" outlineLevel="0" collapsed="false">
      <c r="A32" s="29" t="s">
        <v>178</v>
      </c>
      <c r="B32" s="35" t="str">
        <f aca="false">IF($C32="","",IFERROR(INDEX(Insumos_Categoria,MATCH($C32,Insumos_Ingrediente,0)),""))</f>
        <v>Coberturas (30g)</v>
      </c>
      <c r="C32" s="29" t="s">
        <v>103</v>
      </c>
      <c r="D32" s="36" t="n">
        <v>30</v>
      </c>
      <c r="E32" s="35" t="str">
        <f aca="false">IF($C32="","",IFERROR(INDEX(Insumos_Unidade,MATCH($C32,Insumos_Ingrediente,0)),""))</f>
        <v>g</v>
      </c>
      <c r="F32" s="19" t="n">
        <f aca="false">IFERROR(INDEX(Insumos_CustoUnit,MATCH($C32,Insumos_Ingrediente,0)),0)</f>
        <v>0.01213</v>
      </c>
      <c r="G32" s="19" t="n">
        <f aca="false">$D32*$F32</f>
        <v>0.3639</v>
      </c>
      <c r="H32" s="37" t="n">
        <f aca="false">IF(OR($E32="g",$E32="ml"),$D32,0)</f>
        <v>30</v>
      </c>
      <c r="I32" s="38" t="n">
        <f aca="false">IF($C32="Açaí",1,0)</f>
        <v>0</v>
      </c>
      <c r="J32" s="38" t="n">
        <f aca="false">IF($C32="Banana",1,0)</f>
        <v>0</v>
      </c>
      <c r="K32" s="38" t="n">
        <f aca="false">IF($C32="Whey Protein",1,0)</f>
        <v>0</v>
      </c>
      <c r="L32" s="38" t="n">
        <f aca="false">IF(ISNUMBER(SEARCH("Copo",$C32)),1,0)</f>
        <v>0</v>
      </c>
    </row>
    <row r="33" customFormat="false" ht="15" hidden="false" customHeight="true" outlineLevel="0" collapsed="false">
      <c r="A33" s="29" t="s">
        <v>178</v>
      </c>
      <c r="B33" s="35" t="str">
        <f aca="false">IF($C33="","",IFERROR(INDEX(Insumos_Categoria,MATCH($C33,Insumos_Ingrediente,0)),""))</f>
        <v>Coberturas (30g)</v>
      </c>
      <c r="C33" s="29" t="s">
        <v>102</v>
      </c>
      <c r="D33" s="36" t="n">
        <v>30</v>
      </c>
      <c r="E33" s="35" t="str">
        <f aca="false">IF($C33="","",IFERROR(INDEX(Insumos_Unidade,MATCH($C33,Insumos_Ingrediente,0)),""))</f>
        <v>g</v>
      </c>
      <c r="F33" s="19" t="n">
        <f aca="false">IFERROR(INDEX(Insumos_CustoUnit,MATCH($C33,Insumos_Ingrediente,0)),0)</f>
        <v>0.02</v>
      </c>
      <c r="G33" s="19" t="n">
        <f aca="false">$D33*$F33</f>
        <v>0.6</v>
      </c>
      <c r="H33" s="37" t="n">
        <f aca="false">IF(OR($E33="g",$E33="ml"),$D33,0)</f>
        <v>30</v>
      </c>
      <c r="I33" s="38" t="n">
        <f aca="false">IF($C33="Açaí",1,0)</f>
        <v>0</v>
      </c>
      <c r="J33" s="38" t="n">
        <f aca="false">IF($C33="Banana",1,0)</f>
        <v>0</v>
      </c>
      <c r="K33" s="38" t="n">
        <f aca="false">IF($C33="Whey Protein",1,0)</f>
        <v>0</v>
      </c>
      <c r="L33" s="38" t="n">
        <f aca="false">IF(ISNUMBER(SEARCH("Copo",$C33)),1,0)</f>
        <v>0</v>
      </c>
    </row>
    <row r="34" customFormat="false" ht="15" hidden="false" customHeight="true" outlineLevel="0" collapsed="false">
      <c r="A34" s="29" t="s">
        <v>178</v>
      </c>
      <c r="B34" s="35" t="str">
        <f aca="false">IF($C34="","",IFERROR(INDEX(Insumos_Categoria,MATCH($C34,Insumos_Ingrediente,0)),""))</f>
        <v>Embalagens</v>
      </c>
      <c r="C34" s="29" t="s">
        <v>120</v>
      </c>
      <c r="D34" s="36" t="n">
        <v>1</v>
      </c>
      <c r="E34" s="35" t="str">
        <f aca="false">IF($C34="","",IFERROR(INDEX(Insumos_Unidade,MATCH($C34,Insumos_Ingrediente,0)),""))</f>
        <v>un</v>
      </c>
      <c r="F34" s="19" t="n">
        <f aca="false">IFERROR(INDEX(Insumos_CustoUnit,MATCH($C34,Insumos_Ingrediente,0)),0)</f>
        <v>0.1668</v>
      </c>
      <c r="G34" s="19" t="n">
        <f aca="false">$D34*$F34</f>
        <v>0.1668</v>
      </c>
      <c r="H34" s="38" t="n">
        <f aca="false">IF(OR($E34="g",$E34="ml"),$D34,0)</f>
        <v>0</v>
      </c>
      <c r="I34" s="38" t="n">
        <f aca="false">IF($C34="Açaí",1,0)</f>
        <v>0</v>
      </c>
      <c r="J34" s="38" t="n">
        <f aca="false">IF($C34="Banana",1,0)</f>
        <v>0</v>
      </c>
      <c r="K34" s="38" t="n">
        <f aca="false">IF($C34="Whey Protein",1,0)</f>
        <v>0</v>
      </c>
      <c r="L34" s="38" t="n">
        <f aca="false">IF(ISNUMBER(SEARCH("Copo",$C34)),1,0)</f>
        <v>1</v>
      </c>
    </row>
    <row r="35" customFormat="false" ht="15" hidden="false" customHeight="true" outlineLevel="0" collapsed="false">
      <c r="A35" s="29" t="s">
        <v>178</v>
      </c>
      <c r="B35" s="35" t="str">
        <f aca="false">IF($C35="","",IFERROR(INDEX(Insumos_Categoria,MATCH($C35,Insumos_Ingrediente,0)),""))</f>
        <v>Embalagens</v>
      </c>
      <c r="C35" s="29" t="s">
        <v>125</v>
      </c>
      <c r="D35" s="36" t="n">
        <v>1</v>
      </c>
      <c r="E35" s="35" t="str">
        <f aca="false">IF($C35="","",IFERROR(INDEX(Insumos_Unidade,MATCH($C35,Insumos_Ingrediente,0)),""))</f>
        <v>un</v>
      </c>
      <c r="F35" s="19" t="n">
        <f aca="false">IFERROR(INDEX(Insumos_CustoUnit,MATCH($C35,Insumos_Ingrediente,0)),0)</f>
        <v>0.0823</v>
      </c>
      <c r="G35" s="19" t="n">
        <f aca="false">$D35*$F35</f>
        <v>0.0823</v>
      </c>
      <c r="H35" s="38" t="n">
        <f aca="false">IF(OR($E35="g",$E35="ml"),$D35,0)</f>
        <v>0</v>
      </c>
      <c r="I35" s="38" t="n">
        <f aca="false">IF($C35="Açaí",1,0)</f>
        <v>0</v>
      </c>
      <c r="J35" s="38" t="n">
        <f aca="false">IF($C35="Banana",1,0)</f>
        <v>0</v>
      </c>
      <c r="K35" s="38" t="n">
        <f aca="false">IF($C35="Whey Protein",1,0)</f>
        <v>0</v>
      </c>
      <c r="L35" s="38" t="n">
        <f aca="false">IF(ISNUMBER(SEARCH("Copo",$C35)),1,0)</f>
        <v>0</v>
      </c>
    </row>
    <row r="36" customFormat="false" ht="15" hidden="false" customHeight="true" outlineLevel="0" collapsed="false">
      <c r="A36" s="29" t="s">
        <v>178</v>
      </c>
      <c r="B36" s="35" t="str">
        <f aca="false">IF($C36="","",IFERROR(INDEX(Insumos_Categoria,MATCH($C36,Insumos_Ingrediente,0)),""))</f>
        <v>Consumíveis</v>
      </c>
      <c r="C36" s="29" t="s">
        <v>141</v>
      </c>
      <c r="D36" s="36" t="n">
        <v>1</v>
      </c>
      <c r="E36" s="35" t="str">
        <f aca="false">IF($C36="","",IFERROR(INDEX(Insumos_Unidade,MATCH($C36,Insumos_Ingrediente,0)),""))</f>
        <v>un</v>
      </c>
      <c r="F36" s="19" t="n">
        <f aca="false">IFERROR(INDEX(Insumos_CustoUnit,MATCH($C36,Insumos_Ingrediente,0)),0)</f>
        <v>0.0938</v>
      </c>
      <c r="G36" s="19" t="n">
        <f aca="false">$D36*$F36</f>
        <v>0.0938</v>
      </c>
      <c r="H36" s="38" t="n">
        <f aca="false">IF(OR($E36="g",$E36="ml"),$D36,0)</f>
        <v>0</v>
      </c>
      <c r="I36" s="38" t="n">
        <f aca="false">IF($C36="Açaí",1,0)</f>
        <v>0</v>
      </c>
      <c r="J36" s="38" t="n">
        <f aca="false">IF($C36="Banana",1,0)</f>
        <v>0</v>
      </c>
      <c r="K36" s="38" t="n">
        <f aca="false">IF($C36="Whey Protein",1,0)</f>
        <v>0</v>
      </c>
      <c r="L36" s="38" t="n">
        <f aca="false">IF(ISNUMBER(SEARCH("Copo",$C36)),1,0)</f>
        <v>0</v>
      </c>
    </row>
    <row r="37" customFormat="false" ht="15" hidden="false" customHeight="true" outlineLevel="0" collapsed="false">
      <c r="A37" s="29" t="s">
        <v>178</v>
      </c>
      <c r="B37" s="35" t="str">
        <f aca="false">IF($C37="","",IFERROR(INDEX(Insumos_Categoria,MATCH($C37,Insumos_Ingrediente,0)),""))</f>
        <v>Consumíveis</v>
      </c>
      <c r="C37" s="29" t="s">
        <v>143</v>
      </c>
      <c r="D37" s="36" t="n">
        <v>1</v>
      </c>
      <c r="E37" s="35" t="str">
        <f aca="false">IF($C37="","",IFERROR(INDEX(Insumos_Unidade,MATCH($C37,Insumos_Ingrediente,0)),""))</f>
        <v>un</v>
      </c>
      <c r="F37" s="19" t="n">
        <f aca="false">IFERROR(INDEX(Insumos_CustoUnit,MATCH($C37,Insumos_Ingrediente,0)),0)</f>
        <v>0</v>
      </c>
      <c r="G37" s="19" t="n">
        <f aca="false">$D37*$F37</f>
        <v>0</v>
      </c>
      <c r="H37" s="38" t="n">
        <f aca="false">IF(OR($E37="g",$E37="ml"),$D37,0)</f>
        <v>0</v>
      </c>
      <c r="I37" s="38" t="n">
        <f aca="false">IF($C37="Açaí",1,0)</f>
        <v>0</v>
      </c>
      <c r="J37" s="38" t="n">
        <f aca="false">IF($C37="Banana",1,0)</f>
        <v>0</v>
      </c>
      <c r="K37" s="38" t="n">
        <f aca="false">IF($C37="Whey Protein",1,0)</f>
        <v>0</v>
      </c>
      <c r="L37" s="38" t="n">
        <f aca="false">IF(ISNUMBER(SEARCH("Copo",$C37)),1,0)</f>
        <v>0</v>
      </c>
    </row>
    <row r="38" customFormat="false" ht="15" hidden="false" customHeight="true" outlineLevel="0" collapsed="false">
      <c r="A38" s="29" t="s">
        <v>179</v>
      </c>
      <c r="B38" s="35" t="str">
        <f aca="false">IF($C38="","",IFERROR(INDEX(Insumos_Categoria,MATCH($C38,Insumos_Ingrediente,0)),""))</f>
        <v>Bases (Produção Própria)</v>
      </c>
      <c r="C38" s="29" t="s">
        <v>88</v>
      </c>
      <c r="D38" s="36" t="n">
        <v>270</v>
      </c>
      <c r="E38" s="35" t="str">
        <f aca="false">IF($C38="","",IFERROR(INDEX(Insumos_Unidade,MATCH($C38,Insumos_Ingrediente,0)),""))</f>
        <v>ml</v>
      </c>
      <c r="F38" s="19" t="n">
        <f aca="false">IFERROR(INDEX(Insumos_CustoUnit,MATCH($C38,Insumos_Ingrediente,0)),0)</f>
        <v>0.0165</v>
      </c>
      <c r="G38" s="19" t="n">
        <f aca="false">$D38*$F38</f>
        <v>4.455</v>
      </c>
      <c r="H38" s="37" t="n">
        <f aca="false">IF(OR($E38="g",$E38="ml"),$D38,0)</f>
        <v>270</v>
      </c>
      <c r="I38" s="38" t="n">
        <f aca="false">IF($C38="Açaí",1,0)</f>
        <v>1</v>
      </c>
      <c r="J38" s="38" t="n">
        <f aca="false">IF($C38="Banana",1,0)</f>
        <v>0</v>
      </c>
      <c r="K38" s="38" t="n">
        <f aca="false">IF($C38="Whey Protein",1,0)</f>
        <v>0</v>
      </c>
      <c r="L38" s="38" t="n">
        <f aca="false">IF(ISNUMBER(SEARCH("Copo",$C38)),1,0)</f>
        <v>0</v>
      </c>
    </row>
    <row r="39" customFormat="false" ht="15" hidden="false" customHeight="true" outlineLevel="0" collapsed="false">
      <c r="A39" s="29" t="s">
        <v>179</v>
      </c>
      <c r="B39" s="35" t="str">
        <f aca="false">IF($C39="","",IFERROR(INDEX(Insumos_Categoria,MATCH($C39,Insumos_Ingrediente,0)),""))</f>
        <v>Coberturas (30g)</v>
      </c>
      <c r="C39" s="29" t="s">
        <v>100</v>
      </c>
      <c r="D39" s="36" t="n">
        <v>30</v>
      </c>
      <c r="E39" s="35" t="str">
        <f aca="false">IF($C39="","",IFERROR(INDEX(Insumos_Unidade,MATCH($C39,Insumos_Ingrediente,0)),""))</f>
        <v>g</v>
      </c>
      <c r="F39" s="19" t="n">
        <f aca="false">IFERROR(INDEX(Insumos_CustoUnit,MATCH($C39,Insumos_Ingrediente,0)),0)</f>
        <v>0.00230769230769231</v>
      </c>
      <c r="G39" s="19" t="n">
        <f aca="false">$D39*$F39</f>
        <v>0.0692307692307692</v>
      </c>
      <c r="H39" s="37" t="n">
        <f aca="false">IF(OR($E39="g",$E39="ml"),$D39,0)</f>
        <v>30</v>
      </c>
      <c r="I39" s="38" t="n">
        <f aca="false">IF($C39="Açaí",1,0)</f>
        <v>0</v>
      </c>
      <c r="J39" s="38" t="n">
        <f aca="false">IF($C39="Banana",1,0)</f>
        <v>1</v>
      </c>
      <c r="K39" s="38" t="n">
        <f aca="false">IF($C39="Whey Protein",1,0)</f>
        <v>0</v>
      </c>
      <c r="L39" s="38" t="n">
        <f aca="false">IF(ISNUMBER(SEARCH("Copo",$C39)),1,0)</f>
        <v>0</v>
      </c>
    </row>
    <row r="40" customFormat="false" ht="15" hidden="false" customHeight="true" outlineLevel="0" collapsed="false">
      <c r="A40" s="29" t="s">
        <v>179</v>
      </c>
      <c r="B40" s="35" t="str">
        <f aca="false">IF($C40="","",IFERROR(INDEX(Insumos_Categoria,MATCH($C40,Insumos_Ingrediente,0)),""))</f>
        <v>Coberturas (30g)</v>
      </c>
      <c r="C40" s="29" t="s">
        <v>96</v>
      </c>
      <c r="D40" s="36" t="n">
        <v>30</v>
      </c>
      <c r="E40" s="35" t="str">
        <f aca="false">IF($C40="","",IFERROR(INDEX(Insumos_Unidade,MATCH($C40,Insumos_Ingrediente,0)),""))</f>
        <v>g</v>
      </c>
      <c r="F40" s="19" t="n">
        <f aca="false">IFERROR(INDEX(Insumos_CustoUnit,MATCH($C40,Insumos_Ingrediente,0)),0)</f>
        <v>0.03355</v>
      </c>
      <c r="G40" s="19" t="n">
        <f aca="false">$D40*$F40</f>
        <v>1.0065</v>
      </c>
      <c r="H40" s="37" t="n">
        <f aca="false">IF(OR($E40="g",$E40="ml"),$D40,0)</f>
        <v>30</v>
      </c>
      <c r="I40" s="38" t="n">
        <f aca="false">IF($C40="Açaí",1,0)</f>
        <v>0</v>
      </c>
      <c r="J40" s="38" t="n">
        <f aca="false">IF($C40="Banana",1,0)</f>
        <v>0</v>
      </c>
      <c r="K40" s="38" t="n">
        <f aca="false">IF($C40="Whey Protein",1,0)</f>
        <v>0</v>
      </c>
      <c r="L40" s="38" t="n">
        <f aca="false">IF(ISNUMBER(SEARCH("Copo",$C40)),1,0)</f>
        <v>0</v>
      </c>
    </row>
    <row r="41" customFormat="false" ht="15" hidden="false" customHeight="true" outlineLevel="0" collapsed="false">
      <c r="A41" s="29" t="s">
        <v>179</v>
      </c>
      <c r="B41" s="35" t="str">
        <f aca="false">IF($C41="","",IFERROR(INDEX(Insumos_Categoria,MATCH($C41,Insumos_Ingrediente,0)),""))</f>
        <v>Coberturas (30g)</v>
      </c>
      <c r="C41" s="29" t="s">
        <v>103</v>
      </c>
      <c r="D41" s="36" t="n">
        <v>30</v>
      </c>
      <c r="E41" s="35" t="str">
        <f aca="false">IF($C41="","",IFERROR(INDEX(Insumos_Unidade,MATCH($C41,Insumos_Ingrediente,0)),""))</f>
        <v>g</v>
      </c>
      <c r="F41" s="19" t="n">
        <f aca="false">IFERROR(INDEX(Insumos_CustoUnit,MATCH($C41,Insumos_Ingrediente,0)),0)</f>
        <v>0.01213</v>
      </c>
      <c r="G41" s="19" t="n">
        <f aca="false">$D41*$F41</f>
        <v>0.3639</v>
      </c>
      <c r="H41" s="37" t="n">
        <f aca="false">IF(OR($E41="g",$E41="ml"),$D41,0)</f>
        <v>30</v>
      </c>
      <c r="I41" s="38" t="n">
        <f aca="false">IF($C41="Açaí",1,0)</f>
        <v>0</v>
      </c>
      <c r="J41" s="38" t="n">
        <f aca="false">IF($C41="Banana",1,0)</f>
        <v>0</v>
      </c>
      <c r="K41" s="38" t="n">
        <f aca="false">IF($C41="Whey Protein",1,0)</f>
        <v>0</v>
      </c>
      <c r="L41" s="38" t="n">
        <f aca="false">IF(ISNUMBER(SEARCH("Copo",$C41)),1,0)</f>
        <v>0</v>
      </c>
    </row>
    <row r="42" customFormat="false" ht="15" hidden="false" customHeight="true" outlineLevel="0" collapsed="false">
      <c r="A42" s="29" t="s">
        <v>179</v>
      </c>
      <c r="B42" s="35" t="str">
        <f aca="false">IF($C42="","",IFERROR(INDEX(Insumos_Categoria,MATCH($C42,Insumos_Ingrediente,0)),""))</f>
        <v>Coberturas (30g)</v>
      </c>
      <c r="C42" s="29" t="s">
        <v>102</v>
      </c>
      <c r="D42" s="36" t="n">
        <v>30</v>
      </c>
      <c r="E42" s="35" t="str">
        <f aca="false">IF($C42="","",IFERROR(INDEX(Insumos_Unidade,MATCH($C42,Insumos_Ingrediente,0)),""))</f>
        <v>g</v>
      </c>
      <c r="F42" s="19" t="n">
        <f aca="false">IFERROR(INDEX(Insumos_CustoUnit,MATCH($C42,Insumos_Ingrediente,0)),0)</f>
        <v>0.02</v>
      </c>
      <c r="G42" s="19" t="n">
        <f aca="false">$D42*$F42</f>
        <v>0.6</v>
      </c>
      <c r="H42" s="37" t="n">
        <f aca="false">IF(OR($E42="g",$E42="ml"),$D42,0)</f>
        <v>30</v>
      </c>
      <c r="I42" s="38" t="n">
        <f aca="false">IF($C42="Açaí",1,0)</f>
        <v>0</v>
      </c>
      <c r="J42" s="38" t="n">
        <f aca="false">IF($C42="Banana",1,0)</f>
        <v>0</v>
      </c>
      <c r="K42" s="38" t="n">
        <f aca="false">IF($C42="Whey Protein",1,0)</f>
        <v>0</v>
      </c>
      <c r="L42" s="38" t="n">
        <f aca="false">IF(ISNUMBER(SEARCH("Copo",$C42)),1,0)</f>
        <v>0</v>
      </c>
    </row>
    <row r="43" customFormat="false" ht="15" hidden="false" customHeight="true" outlineLevel="0" collapsed="false">
      <c r="A43" s="29" t="s">
        <v>179</v>
      </c>
      <c r="B43" s="35" t="str">
        <f aca="false">IF($C43="","",IFERROR(INDEX(Insumos_Categoria,MATCH($C43,Insumos_Ingrediente,0)),""))</f>
        <v>Embalagens</v>
      </c>
      <c r="C43" s="29" t="s">
        <v>123</v>
      </c>
      <c r="D43" s="36" t="n">
        <v>1</v>
      </c>
      <c r="E43" s="35" t="str">
        <f aca="false">IF($C43="","",IFERROR(INDEX(Insumos_Unidade,MATCH($C43,Insumos_Ingrediente,0)),""))</f>
        <v>un</v>
      </c>
      <c r="F43" s="19" t="n">
        <f aca="false">IFERROR(INDEX(Insumos_CustoUnit,MATCH($C43,Insumos_Ingrediente,0)),0)</f>
        <v>0.15372</v>
      </c>
      <c r="G43" s="19" t="n">
        <f aca="false">$D43*$F43</f>
        <v>0.15372</v>
      </c>
      <c r="H43" s="38" t="n">
        <f aca="false">IF(OR($E43="g",$E43="ml"),$D43,0)</f>
        <v>0</v>
      </c>
      <c r="I43" s="38" t="n">
        <f aca="false">IF($C43="Açaí",1,0)</f>
        <v>0</v>
      </c>
      <c r="J43" s="38" t="n">
        <f aca="false">IF($C43="Banana",1,0)</f>
        <v>0</v>
      </c>
      <c r="K43" s="38" t="n">
        <f aca="false">IF($C43="Whey Protein",1,0)</f>
        <v>0</v>
      </c>
      <c r="L43" s="38" t="n">
        <f aca="false">IF(ISNUMBER(SEARCH("Copo",$C43)),1,0)</f>
        <v>1</v>
      </c>
    </row>
    <row r="44" customFormat="false" ht="15" hidden="false" customHeight="true" outlineLevel="0" collapsed="false">
      <c r="A44" s="29" t="s">
        <v>179</v>
      </c>
      <c r="B44" s="35" t="str">
        <f aca="false">IF($C44="","",IFERROR(INDEX(Insumos_Categoria,MATCH($C44,Insumos_Ingrediente,0)),""))</f>
        <v>Embalagens</v>
      </c>
      <c r="C44" s="29" t="s">
        <v>126</v>
      </c>
      <c r="D44" s="36" t="n">
        <v>1</v>
      </c>
      <c r="E44" s="35" t="str">
        <f aca="false">IF($C44="","",IFERROR(INDEX(Insumos_Unidade,MATCH($C44,Insumos_Ingrediente,0)),""))</f>
        <v>un</v>
      </c>
      <c r="F44" s="19" t="n">
        <f aca="false">IFERROR(INDEX(Insumos_CustoUnit,MATCH($C44,Insumos_Ingrediente,0)),0)</f>
        <v>0.0823</v>
      </c>
      <c r="G44" s="19" t="n">
        <f aca="false">$D44*$F44</f>
        <v>0.0823</v>
      </c>
      <c r="H44" s="38" t="n">
        <f aca="false">IF(OR($E44="g",$E44="ml"),$D44,0)</f>
        <v>0</v>
      </c>
      <c r="I44" s="38" t="n">
        <f aca="false">IF($C44="Açaí",1,0)</f>
        <v>0</v>
      </c>
      <c r="J44" s="38" t="n">
        <f aca="false">IF($C44="Banana",1,0)</f>
        <v>0</v>
      </c>
      <c r="K44" s="38" t="n">
        <f aca="false">IF($C44="Whey Protein",1,0)</f>
        <v>0</v>
      </c>
      <c r="L44" s="38" t="n">
        <f aca="false">IF(ISNUMBER(SEARCH("Copo",$C44)),1,0)</f>
        <v>0</v>
      </c>
    </row>
    <row r="45" customFormat="false" ht="15" hidden="false" customHeight="true" outlineLevel="0" collapsed="false">
      <c r="A45" s="29" t="s">
        <v>179</v>
      </c>
      <c r="B45" s="35" t="str">
        <f aca="false">IF($C45="","",IFERROR(INDEX(Insumos_Categoria,MATCH($C45,Insumos_Ingrediente,0)),""))</f>
        <v>Consumíveis</v>
      </c>
      <c r="C45" s="29" t="s">
        <v>141</v>
      </c>
      <c r="D45" s="36" t="n">
        <v>1</v>
      </c>
      <c r="E45" s="35" t="str">
        <f aca="false">IF($C45="","",IFERROR(INDEX(Insumos_Unidade,MATCH($C45,Insumos_Ingrediente,0)),""))</f>
        <v>un</v>
      </c>
      <c r="F45" s="19" t="n">
        <f aca="false">IFERROR(INDEX(Insumos_CustoUnit,MATCH($C45,Insumos_Ingrediente,0)),0)</f>
        <v>0.0938</v>
      </c>
      <c r="G45" s="19" t="n">
        <f aca="false">$D45*$F45</f>
        <v>0.0938</v>
      </c>
      <c r="H45" s="38" t="n">
        <f aca="false">IF(OR($E45="g",$E45="ml"),$D45,0)</f>
        <v>0</v>
      </c>
      <c r="I45" s="38" t="n">
        <f aca="false">IF($C45="Açaí",1,0)</f>
        <v>0</v>
      </c>
      <c r="J45" s="38" t="n">
        <f aca="false">IF($C45="Banana",1,0)</f>
        <v>0</v>
      </c>
      <c r="K45" s="38" t="n">
        <f aca="false">IF($C45="Whey Protein",1,0)</f>
        <v>0</v>
      </c>
      <c r="L45" s="38" t="n">
        <f aca="false">IF(ISNUMBER(SEARCH("Copo",$C45)),1,0)</f>
        <v>0</v>
      </c>
    </row>
    <row r="46" customFormat="false" ht="15" hidden="false" customHeight="true" outlineLevel="0" collapsed="false">
      <c r="A46" s="29" t="s">
        <v>179</v>
      </c>
      <c r="B46" s="35" t="str">
        <f aca="false">IF($C46="","",IFERROR(INDEX(Insumos_Categoria,MATCH($C46,Insumos_Ingrediente,0)),""))</f>
        <v>Consumíveis</v>
      </c>
      <c r="C46" s="29" t="s">
        <v>143</v>
      </c>
      <c r="D46" s="36" t="n">
        <v>1</v>
      </c>
      <c r="E46" s="35" t="str">
        <f aca="false">IF($C46="","",IFERROR(INDEX(Insumos_Unidade,MATCH($C46,Insumos_Ingrediente,0)),""))</f>
        <v>un</v>
      </c>
      <c r="F46" s="19" t="n">
        <f aca="false">IFERROR(INDEX(Insumos_CustoUnit,MATCH($C46,Insumos_Ingrediente,0)),0)</f>
        <v>0</v>
      </c>
      <c r="G46" s="19" t="n">
        <f aca="false">$D46*$F46</f>
        <v>0</v>
      </c>
      <c r="H46" s="38" t="n">
        <f aca="false">IF(OR($E46="g",$E46="ml"),$D46,0)</f>
        <v>0</v>
      </c>
      <c r="I46" s="38" t="n">
        <f aca="false">IF($C46="Açaí",1,0)</f>
        <v>0</v>
      </c>
      <c r="J46" s="38" t="n">
        <f aca="false">IF($C46="Banana",1,0)</f>
        <v>0</v>
      </c>
      <c r="K46" s="38" t="n">
        <f aca="false">IF($C46="Whey Protein",1,0)</f>
        <v>0</v>
      </c>
      <c r="L46" s="38" t="n">
        <f aca="false">IF(ISNUMBER(SEARCH("Copo",$C46)),1,0)</f>
        <v>0</v>
      </c>
    </row>
    <row r="47" customFormat="false" ht="15" hidden="false" customHeight="true" outlineLevel="0" collapsed="false">
      <c r="A47" s="29" t="s">
        <v>180</v>
      </c>
      <c r="B47" s="35" t="str">
        <f aca="false">IF($C47="","",IFERROR(INDEX(Insumos_Categoria,MATCH($C47,Insumos_Ingrediente,0)),""))</f>
        <v>Bases (Produção Própria)</v>
      </c>
      <c r="C47" s="29" t="s">
        <v>88</v>
      </c>
      <c r="D47" s="36" t="n">
        <v>470</v>
      </c>
      <c r="E47" s="35" t="str">
        <f aca="false">IF($C47="","",IFERROR(INDEX(Insumos_Unidade,MATCH($C47,Insumos_Ingrediente,0)),""))</f>
        <v>ml</v>
      </c>
      <c r="F47" s="19" t="n">
        <f aca="false">IFERROR(INDEX(Insumos_CustoUnit,MATCH($C47,Insumos_Ingrediente,0)),0)</f>
        <v>0.0165</v>
      </c>
      <c r="G47" s="19" t="n">
        <f aca="false">$D47*$F47</f>
        <v>7.755</v>
      </c>
      <c r="H47" s="37" t="n">
        <f aca="false">IF(OR($E47="g",$E47="ml"),$D47,0)</f>
        <v>470</v>
      </c>
      <c r="I47" s="38" t="n">
        <f aca="false">IF($C47="Açaí",1,0)</f>
        <v>1</v>
      </c>
      <c r="J47" s="38" t="n">
        <f aca="false">IF($C47="Banana",1,0)</f>
        <v>0</v>
      </c>
      <c r="K47" s="38" t="n">
        <f aca="false">IF($C47="Whey Protein",1,0)</f>
        <v>0</v>
      </c>
      <c r="L47" s="38" t="n">
        <f aca="false">IF(ISNUMBER(SEARCH("Copo",$C47)),1,0)</f>
        <v>0</v>
      </c>
    </row>
    <row r="48" customFormat="false" ht="15" hidden="false" customHeight="true" outlineLevel="0" collapsed="false">
      <c r="A48" s="29" t="s">
        <v>180</v>
      </c>
      <c r="B48" s="35" t="str">
        <f aca="false">IF($C48="","",IFERROR(INDEX(Insumos_Categoria,MATCH($C48,Insumos_Ingrediente,0)),""))</f>
        <v>Coberturas (30g)</v>
      </c>
      <c r="C48" s="29" t="s">
        <v>100</v>
      </c>
      <c r="D48" s="36" t="n">
        <v>30</v>
      </c>
      <c r="E48" s="35" t="str">
        <f aca="false">IF($C48="","",IFERROR(INDEX(Insumos_Unidade,MATCH($C48,Insumos_Ingrediente,0)),""))</f>
        <v>g</v>
      </c>
      <c r="F48" s="19" t="n">
        <f aca="false">IFERROR(INDEX(Insumos_CustoUnit,MATCH($C48,Insumos_Ingrediente,0)),0)</f>
        <v>0.00230769230769231</v>
      </c>
      <c r="G48" s="19" t="n">
        <f aca="false">$D48*$F48</f>
        <v>0.0692307692307692</v>
      </c>
      <c r="H48" s="37" t="n">
        <f aca="false">IF(OR($E48="g",$E48="ml"),$D48,0)</f>
        <v>30</v>
      </c>
      <c r="I48" s="38" t="n">
        <f aca="false">IF($C48="Açaí",1,0)</f>
        <v>0</v>
      </c>
      <c r="J48" s="38" t="n">
        <f aca="false">IF($C48="Banana",1,0)</f>
        <v>1</v>
      </c>
      <c r="K48" s="38" t="n">
        <f aca="false">IF($C48="Whey Protein",1,0)</f>
        <v>0</v>
      </c>
      <c r="L48" s="38" t="n">
        <f aca="false">IF(ISNUMBER(SEARCH("Copo",$C48)),1,0)</f>
        <v>0</v>
      </c>
    </row>
    <row r="49" customFormat="false" ht="15" hidden="false" customHeight="true" outlineLevel="0" collapsed="false">
      <c r="A49" s="29" t="s">
        <v>180</v>
      </c>
      <c r="B49" s="35" t="str">
        <f aca="false">IF($C49="","",IFERROR(INDEX(Insumos_Categoria,MATCH($C49,Insumos_Ingrediente,0)),""))</f>
        <v>Coberturas (30g)</v>
      </c>
      <c r="C49" s="29" t="s">
        <v>96</v>
      </c>
      <c r="D49" s="36" t="n">
        <v>30</v>
      </c>
      <c r="E49" s="35" t="str">
        <f aca="false">IF($C49="","",IFERROR(INDEX(Insumos_Unidade,MATCH($C49,Insumos_Ingrediente,0)),""))</f>
        <v>g</v>
      </c>
      <c r="F49" s="19" t="n">
        <f aca="false">IFERROR(INDEX(Insumos_CustoUnit,MATCH($C49,Insumos_Ingrediente,0)),0)</f>
        <v>0.03355</v>
      </c>
      <c r="G49" s="19" t="n">
        <f aca="false">$D49*$F49</f>
        <v>1.0065</v>
      </c>
      <c r="H49" s="37" t="n">
        <f aca="false">IF(OR($E49="g",$E49="ml"),$D49,0)</f>
        <v>30</v>
      </c>
      <c r="I49" s="38" t="n">
        <f aca="false">IF($C49="Açaí",1,0)</f>
        <v>0</v>
      </c>
      <c r="J49" s="38" t="n">
        <f aca="false">IF($C49="Banana",1,0)</f>
        <v>0</v>
      </c>
      <c r="K49" s="38" t="n">
        <f aca="false">IF($C49="Whey Protein",1,0)</f>
        <v>0</v>
      </c>
      <c r="L49" s="38" t="n">
        <f aca="false">IF(ISNUMBER(SEARCH("Copo",$C49)),1,0)</f>
        <v>0</v>
      </c>
    </row>
    <row r="50" customFormat="false" ht="15" hidden="false" customHeight="true" outlineLevel="0" collapsed="false">
      <c r="A50" s="29" t="s">
        <v>180</v>
      </c>
      <c r="B50" s="35" t="str">
        <f aca="false">IF($C50="","",IFERROR(INDEX(Insumos_Categoria,MATCH($C50,Insumos_Ingrediente,0)),""))</f>
        <v>Coberturas (30g)</v>
      </c>
      <c r="C50" s="29" t="s">
        <v>103</v>
      </c>
      <c r="D50" s="36" t="n">
        <v>30</v>
      </c>
      <c r="E50" s="35" t="str">
        <f aca="false">IF($C50="","",IFERROR(INDEX(Insumos_Unidade,MATCH($C50,Insumos_Ingrediente,0)),""))</f>
        <v>g</v>
      </c>
      <c r="F50" s="19" t="n">
        <f aca="false">IFERROR(INDEX(Insumos_CustoUnit,MATCH($C50,Insumos_Ingrediente,0)),0)</f>
        <v>0.01213</v>
      </c>
      <c r="G50" s="19" t="n">
        <f aca="false">$D50*$F50</f>
        <v>0.3639</v>
      </c>
      <c r="H50" s="37" t="n">
        <f aca="false">IF(OR($E50="g",$E50="ml"),$D50,0)</f>
        <v>30</v>
      </c>
      <c r="I50" s="38" t="n">
        <f aca="false">IF($C50="Açaí",1,0)</f>
        <v>0</v>
      </c>
      <c r="J50" s="38" t="n">
        <f aca="false">IF($C50="Banana",1,0)</f>
        <v>0</v>
      </c>
      <c r="K50" s="38" t="n">
        <f aca="false">IF($C50="Whey Protein",1,0)</f>
        <v>0</v>
      </c>
      <c r="L50" s="38" t="n">
        <f aca="false">IF(ISNUMBER(SEARCH("Copo",$C50)),1,0)</f>
        <v>0</v>
      </c>
    </row>
    <row r="51" customFormat="false" ht="15" hidden="false" customHeight="true" outlineLevel="0" collapsed="false">
      <c r="A51" s="29" t="s">
        <v>180</v>
      </c>
      <c r="B51" s="35" t="str">
        <f aca="false">IF($C51="","",IFERROR(INDEX(Insumos_Categoria,MATCH($C51,Insumos_Ingrediente,0)),""))</f>
        <v>Coberturas (30g)</v>
      </c>
      <c r="C51" s="29" t="s">
        <v>102</v>
      </c>
      <c r="D51" s="36" t="n">
        <v>30</v>
      </c>
      <c r="E51" s="35" t="str">
        <f aca="false">IF($C51="","",IFERROR(INDEX(Insumos_Unidade,MATCH($C51,Insumos_Ingrediente,0)),""))</f>
        <v>g</v>
      </c>
      <c r="F51" s="19" t="n">
        <f aca="false">IFERROR(INDEX(Insumos_CustoUnit,MATCH($C51,Insumos_Ingrediente,0)),0)</f>
        <v>0.02</v>
      </c>
      <c r="G51" s="19" t="n">
        <f aca="false">$D51*$F51</f>
        <v>0.6</v>
      </c>
      <c r="H51" s="37" t="n">
        <f aca="false">IF(OR($E51="g",$E51="ml"),$D51,0)</f>
        <v>30</v>
      </c>
      <c r="I51" s="38" t="n">
        <f aca="false">IF($C51="Açaí",1,0)</f>
        <v>0</v>
      </c>
      <c r="J51" s="38" t="n">
        <f aca="false">IF($C51="Banana",1,0)</f>
        <v>0</v>
      </c>
      <c r="K51" s="38" t="n">
        <f aca="false">IF($C51="Whey Protein",1,0)</f>
        <v>0</v>
      </c>
      <c r="L51" s="38" t="n">
        <f aca="false">IF(ISNUMBER(SEARCH("Copo",$C51)),1,0)</f>
        <v>0</v>
      </c>
    </row>
    <row r="52" customFormat="false" ht="15" hidden="false" customHeight="true" outlineLevel="0" collapsed="false">
      <c r="A52" s="29" t="s">
        <v>180</v>
      </c>
      <c r="B52" s="35" t="str">
        <f aca="false">IF($C52="","",IFERROR(INDEX(Insumos_Categoria,MATCH($C52,Insumos_Ingrediente,0)),""))</f>
        <v>Embalagens</v>
      </c>
      <c r="C52" s="29" t="s">
        <v>124</v>
      </c>
      <c r="D52" s="36" t="n">
        <v>1</v>
      </c>
      <c r="E52" s="35" t="str">
        <f aca="false">IF($C52="","",IFERROR(INDEX(Insumos_Unidade,MATCH($C52,Insumos_Ingrediente,0)),""))</f>
        <v>un</v>
      </c>
      <c r="F52" s="19" t="n">
        <f aca="false">IFERROR(INDEX(Insumos_CustoUnit,MATCH($C52,Insumos_Ingrediente,0)),0)</f>
        <v>0.24365</v>
      </c>
      <c r="G52" s="19" t="n">
        <f aca="false">$D52*$F52</f>
        <v>0.24365</v>
      </c>
      <c r="H52" s="38" t="n">
        <f aca="false">IF(OR($E52="g",$E52="ml"),$D52,0)</f>
        <v>0</v>
      </c>
      <c r="I52" s="38" t="n">
        <f aca="false">IF($C52="Açaí",1,0)</f>
        <v>0</v>
      </c>
      <c r="J52" s="38" t="n">
        <f aca="false">IF($C52="Banana",1,0)</f>
        <v>0</v>
      </c>
      <c r="K52" s="38" t="n">
        <f aca="false">IF($C52="Whey Protein",1,0)</f>
        <v>0</v>
      </c>
      <c r="L52" s="38" t="n">
        <f aca="false">IF(ISNUMBER(SEARCH("Copo",$C52)),1,0)</f>
        <v>1</v>
      </c>
    </row>
    <row r="53" customFormat="false" ht="15" hidden="false" customHeight="true" outlineLevel="0" collapsed="false">
      <c r="A53" s="29" t="s">
        <v>180</v>
      </c>
      <c r="B53" s="35" t="str">
        <f aca="false">IF($C53="","",IFERROR(INDEX(Insumos_Categoria,MATCH($C53,Insumos_Ingrediente,0)),""))</f>
        <v>Embalagens</v>
      </c>
      <c r="C53" s="29" t="s">
        <v>127</v>
      </c>
      <c r="D53" s="36" t="n">
        <v>1</v>
      </c>
      <c r="E53" s="35" t="str">
        <f aca="false">IF($C53="","",IFERROR(INDEX(Insumos_Unidade,MATCH($C53,Insumos_Ingrediente,0)),""))</f>
        <v>un</v>
      </c>
      <c r="F53" s="19" t="n">
        <f aca="false">IFERROR(INDEX(Insumos_CustoUnit,MATCH($C53,Insumos_Ingrediente,0)),0)</f>
        <v>0.0923</v>
      </c>
      <c r="G53" s="19" t="n">
        <f aca="false">$D53*$F53</f>
        <v>0.0923</v>
      </c>
      <c r="H53" s="38" t="n">
        <f aca="false">IF(OR($E53="g",$E53="ml"),$D53,0)</f>
        <v>0</v>
      </c>
      <c r="I53" s="38" t="n">
        <f aca="false">IF($C53="Açaí",1,0)</f>
        <v>0</v>
      </c>
      <c r="J53" s="38" t="n">
        <f aca="false">IF($C53="Banana",1,0)</f>
        <v>0</v>
      </c>
      <c r="K53" s="38" t="n">
        <f aca="false">IF($C53="Whey Protein",1,0)</f>
        <v>0</v>
      </c>
      <c r="L53" s="38" t="n">
        <f aca="false">IF(ISNUMBER(SEARCH("Copo",$C53)),1,0)</f>
        <v>0</v>
      </c>
    </row>
    <row r="54" customFormat="false" ht="15" hidden="false" customHeight="true" outlineLevel="0" collapsed="false">
      <c r="A54" s="29" t="s">
        <v>180</v>
      </c>
      <c r="B54" s="35" t="str">
        <f aca="false">IF($C54="","",IFERROR(INDEX(Insumos_Categoria,MATCH($C54,Insumos_Ingrediente,0)),""))</f>
        <v>Consumíveis</v>
      </c>
      <c r="C54" s="29" t="s">
        <v>141</v>
      </c>
      <c r="D54" s="36" t="n">
        <v>1</v>
      </c>
      <c r="E54" s="35" t="str">
        <f aca="false">IF($C54="","",IFERROR(INDEX(Insumos_Unidade,MATCH($C54,Insumos_Ingrediente,0)),""))</f>
        <v>un</v>
      </c>
      <c r="F54" s="19" t="n">
        <f aca="false">IFERROR(INDEX(Insumos_CustoUnit,MATCH($C54,Insumos_Ingrediente,0)),0)</f>
        <v>0.0938</v>
      </c>
      <c r="G54" s="19" t="n">
        <f aca="false">$D54*$F54</f>
        <v>0.0938</v>
      </c>
      <c r="H54" s="38" t="n">
        <f aca="false">IF(OR($E54="g",$E54="ml"),$D54,0)</f>
        <v>0</v>
      </c>
      <c r="I54" s="38" t="n">
        <f aca="false">IF($C54="Açaí",1,0)</f>
        <v>0</v>
      </c>
      <c r="J54" s="38" t="n">
        <f aca="false">IF($C54="Banana",1,0)</f>
        <v>0</v>
      </c>
      <c r="K54" s="38" t="n">
        <f aca="false">IF($C54="Whey Protein",1,0)</f>
        <v>0</v>
      </c>
      <c r="L54" s="38" t="n">
        <f aca="false">IF(ISNUMBER(SEARCH("Copo",$C54)),1,0)</f>
        <v>0</v>
      </c>
    </row>
    <row r="55" customFormat="false" ht="15" hidden="false" customHeight="true" outlineLevel="0" collapsed="false">
      <c r="A55" s="29" t="s">
        <v>180</v>
      </c>
      <c r="B55" s="35" t="str">
        <f aca="false">IF($C55="","",IFERROR(INDEX(Insumos_Categoria,MATCH($C55,Insumos_Ingrediente,0)),""))</f>
        <v>Consumíveis</v>
      </c>
      <c r="C55" s="29" t="s">
        <v>143</v>
      </c>
      <c r="D55" s="36" t="n">
        <v>1</v>
      </c>
      <c r="E55" s="35" t="str">
        <f aca="false">IF($C55="","",IFERROR(INDEX(Insumos_Unidade,MATCH($C55,Insumos_Ingrediente,0)),""))</f>
        <v>un</v>
      </c>
      <c r="F55" s="19" t="n">
        <f aca="false">IFERROR(INDEX(Insumos_CustoUnit,MATCH($C55,Insumos_Ingrediente,0)),0)</f>
        <v>0</v>
      </c>
      <c r="G55" s="19" t="n">
        <f aca="false">$D55*$F55</f>
        <v>0</v>
      </c>
      <c r="H55" s="38" t="n">
        <f aca="false">IF(OR($E55="g",$E55="ml"),$D55,0)</f>
        <v>0</v>
      </c>
      <c r="I55" s="38" t="n">
        <f aca="false">IF($C55="Açaí",1,0)</f>
        <v>0</v>
      </c>
      <c r="J55" s="38" t="n">
        <f aca="false">IF($C55="Banana",1,0)</f>
        <v>0</v>
      </c>
      <c r="K55" s="38" t="n">
        <f aca="false">IF($C55="Whey Protein",1,0)</f>
        <v>0</v>
      </c>
      <c r="L55" s="38" t="n">
        <f aca="false">IF(ISNUMBER(SEARCH("Copo",$C55)),1,0)</f>
        <v>0</v>
      </c>
    </row>
    <row r="56" customFormat="false" ht="15" hidden="false" customHeight="true" outlineLevel="0" collapsed="false">
      <c r="A56" s="29" t="s">
        <v>181</v>
      </c>
      <c r="B56" s="35" t="str">
        <f aca="false">IF($C56="","",IFERROR(INDEX(Insumos_Categoria,MATCH($C56,Insumos_Ingrediente,0)),""))</f>
        <v>Bases (Produção Própria)</v>
      </c>
      <c r="C56" s="29" t="s">
        <v>88</v>
      </c>
      <c r="D56" s="36" t="n">
        <v>170</v>
      </c>
      <c r="E56" s="35" t="str">
        <f aca="false">IF($C56="","",IFERROR(INDEX(Insumos_Unidade,MATCH($C56,Insumos_Ingrediente,0)),""))</f>
        <v>ml</v>
      </c>
      <c r="F56" s="19" t="n">
        <f aca="false">IFERROR(INDEX(Insumos_CustoUnit,MATCH($C56,Insumos_Ingrediente,0)),0)</f>
        <v>0.0165</v>
      </c>
      <c r="G56" s="19" t="n">
        <f aca="false">$D56*$F56</f>
        <v>2.805</v>
      </c>
      <c r="H56" s="37" t="n">
        <f aca="false">IF(OR($E56="g",$E56="ml"),$D56,0)</f>
        <v>170</v>
      </c>
      <c r="I56" s="38" t="n">
        <f aca="false">IF($C56="Açaí",1,0)</f>
        <v>1</v>
      </c>
      <c r="J56" s="38" t="n">
        <f aca="false">IF($C56="Banana",1,0)</f>
        <v>0</v>
      </c>
      <c r="K56" s="38" t="n">
        <f aca="false">IF($C56="Whey Protein",1,0)</f>
        <v>0</v>
      </c>
      <c r="L56" s="38" t="n">
        <f aca="false">IF(ISNUMBER(SEARCH("Copo",$C56)),1,0)</f>
        <v>0</v>
      </c>
    </row>
    <row r="57" customFormat="false" ht="15" hidden="false" customHeight="true" outlineLevel="0" collapsed="false">
      <c r="A57" s="29" t="s">
        <v>181</v>
      </c>
      <c r="B57" s="35" t="str">
        <f aca="false">IF($C57="","",IFERROR(INDEX(Insumos_Categoria,MATCH($C57,Insumos_Ingrediente,0)),""))</f>
        <v>Coberturas (30g)</v>
      </c>
      <c r="C57" s="29" t="s">
        <v>100</v>
      </c>
      <c r="D57" s="36" t="n">
        <v>30</v>
      </c>
      <c r="E57" s="35" t="str">
        <f aca="false">IF($C57="","",IFERROR(INDEX(Insumos_Unidade,MATCH($C57,Insumos_Ingrediente,0)),""))</f>
        <v>g</v>
      </c>
      <c r="F57" s="19" t="n">
        <f aca="false">IFERROR(INDEX(Insumos_CustoUnit,MATCH($C57,Insumos_Ingrediente,0)),0)</f>
        <v>0.00230769230769231</v>
      </c>
      <c r="G57" s="19" t="n">
        <f aca="false">$D57*$F57</f>
        <v>0.0692307692307692</v>
      </c>
      <c r="H57" s="37" t="n">
        <f aca="false">IF(OR($E57="g",$E57="ml"),$D57,0)</f>
        <v>30</v>
      </c>
      <c r="I57" s="38" t="n">
        <f aca="false">IF($C57="Açaí",1,0)</f>
        <v>0</v>
      </c>
      <c r="J57" s="38" t="n">
        <f aca="false">IF($C57="Banana",1,0)</f>
        <v>1</v>
      </c>
      <c r="K57" s="38" t="n">
        <f aca="false">IF($C57="Whey Protein",1,0)</f>
        <v>0</v>
      </c>
      <c r="L57" s="38" t="n">
        <f aca="false">IF(ISNUMBER(SEARCH("Copo",$C57)),1,0)</f>
        <v>0</v>
      </c>
    </row>
    <row r="58" customFormat="false" ht="15" hidden="false" customHeight="true" outlineLevel="0" collapsed="false">
      <c r="A58" s="29" t="s">
        <v>181</v>
      </c>
      <c r="B58" s="35" t="str">
        <f aca="false">IF($C58="","",IFERROR(INDEX(Insumos_Categoria,MATCH($C58,Insumos_Ingrediente,0)),""))</f>
        <v>Coberturas (30g)</v>
      </c>
      <c r="C58" s="29" t="s">
        <v>104</v>
      </c>
      <c r="D58" s="36" t="n">
        <v>30</v>
      </c>
      <c r="E58" s="35" t="str">
        <f aca="false">IF($C58="","",IFERROR(INDEX(Insumos_Unidade,MATCH($C58,Insumos_Ingrediente,0)),""))</f>
        <v>g</v>
      </c>
      <c r="F58" s="19" t="n">
        <f aca="false">IFERROR(INDEX(Insumos_CustoUnit,MATCH($C58,Insumos_Ingrediente,0)),0)</f>
        <v>0.02233</v>
      </c>
      <c r="G58" s="19" t="n">
        <f aca="false">$D58*$F58</f>
        <v>0.6699</v>
      </c>
      <c r="H58" s="37" t="n">
        <f aca="false">IF(OR($E58="g",$E58="ml"),$D58,0)</f>
        <v>30</v>
      </c>
      <c r="I58" s="38" t="n">
        <f aca="false">IF($C58="Açaí",1,0)</f>
        <v>0</v>
      </c>
      <c r="J58" s="38" t="n">
        <f aca="false">IF($C58="Banana",1,0)</f>
        <v>0</v>
      </c>
      <c r="K58" s="38" t="n">
        <f aca="false">IF($C58="Whey Protein",1,0)</f>
        <v>0</v>
      </c>
      <c r="L58" s="38" t="n">
        <f aca="false">IF(ISNUMBER(SEARCH("Copo",$C58)),1,0)</f>
        <v>0</v>
      </c>
    </row>
    <row r="59" customFormat="false" ht="15" hidden="false" customHeight="true" outlineLevel="0" collapsed="false">
      <c r="A59" s="29" t="s">
        <v>181</v>
      </c>
      <c r="B59" s="35" t="str">
        <f aca="false">IF($C59="","",IFERROR(INDEX(Insumos_Categoria,MATCH($C59,Insumos_Ingrediente,0)),""))</f>
        <v>Coberturas (30g)</v>
      </c>
      <c r="C59" s="29" t="s">
        <v>103</v>
      </c>
      <c r="D59" s="36" t="n">
        <v>30</v>
      </c>
      <c r="E59" s="35" t="str">
        <f aca="false">IF($C59="","",IFERROR(INDEX(Insumos_Unidade,MATCH($C59,Insumos_Ingrediente,0)),""))</f>
        <v>g</v>
      </c>
      <c r="F59" s="19" t="n">
        <f aca="false">IFERROR(INDEX(Insumos_CustoUnit,MATCH($C59,Insumos_Ingrediente,0)),0)</f>
        <v>0.01213</v>
      </c>
      <c r="G59" s="19" t="n">
        <f aca="false">$D59*$F59</f>
        <v>0.3639</v>
      </c>
      <c r="H59" s="37" t="n">
        <f aca="false">IF(OR($E59="g",$E59="ml"),$D59,0)</f>
        <v>30</v>
      </c>
      <c r="I59" s="38" t="n">
        <f aca="false">IF($C59="Açaí",1,0)</f>
        <v>0</v>
      </c>
      <c r="J59" s="38" t="n">
        <f aca="false">IF($C59="Banana",1,0)</f>
        <v>0</v>
      </c>
      <c r="K59" s="38" t="n">
        <f aca="false">IF($C59="Whey Protein",1,0)</f>
        <v>0</v>
      </c>
      <c r="L59" s="38" t="n">
        <f aca="false">IF(ISNUMBER(SEARCH("Copo",$C59)),1,0)</f>
        <v>0</v>
      </c>
    </row>
    <row r="60" customFormat="false" ht="15" hidden="false" customHeight="true" outlineLevel="0" collapsed="false">
      <c r="A60" s="29" t="s">
        <v>181</v>
      </c>
      <c r="B60" s="35" t="str">
        <f aca="false">IF($C60="","",IFERROR(INDEX(Insumos_Categoria,MATCH($C60,Insumos_Ingrediente,0)),""))</f>
        <v>Coberturas (30g)</v>
      </c>
      <c r="C60" s="29" t="s">
        <v>102</v>
      </c>
      <c r="D60" s="36" t="n">
        <v>30</v>
      </c>
      <c r="E60" s="35" t="str">
        <f aca="false">IF($C60="","",IFERROR(INDEX(Insumos_Unidade,MATCH($C60,Insumos_Ingrediente,0)),""))</f>
        <v>g</v>
      </c>
      <c r="F60" s="19" t="n">
        <f aca="false">IFERROR(INDEX(Insumos_CustoUnit,MATCH($C60,Insumos_Ingrediente,0)),0)</f>
        <v>0.02</v>
      </c>
      <c r="G60" s="19" t="n">
        <f aca="false">$D60*$F60</f>
        <v>0.6</v>
      </c>
      <c r="H60" s="37" t="n">
        <f aca="false">IF(OR($E60="g",$E60="ml"),$D60,0)</f>
        <v>30</v>
      </c>
      <c r="I60" s="38" t="n">
        <f aca="false">IF($C60="Açaí",1,0)</f>
        <v>0</v>
      </c>
      <c r="J60" s="38" t="n">
        <f aca="false">IF($C60="Banana",1,0)</f>
        <v>0</v>
      </c>
      <c r="K60" s="38" t="n">
        <f aca="false">IF($C60="Whey Protein",1,0)</f>
        <v>0</v>
      </c>
      <c r="L60" s="38" t="n">
        <f aca="false">IF(ISNUMBER(SEARCH("Copo",$C60)),1,0)</f>
        <v>0</v>
      </c>
    </row>
    <row r="61" customFormat="false" ht="15" hidden="false" customHeight="true" outlineLevel="0" collapsed="false">
      <c r="A61" s="29" t="s">
        <v>181</v>
      </c>
      <c r="B61" s="35" t="str">
        <f aca="false">IF($C61="","",IFERROR(INDEX(Insumos_Categoria,MATCH($C61,Insumos_Ingrediente,0)),""))</f>
        <v>Embalagens</v>
      </c>
      <c r="C61" s="29" t="s">
        <v>120</v>
      </c>
      <c r="D61" s="36" t="n">
        <v>1</v>
      </c>
      <c r="E61" s="35" t="str">
        <f aca="false">IF($C61="","",IFERROR(INDEX(Insumos_Unidade,MATCH($C61,Insumos_Ingrediente,0)),""))</f>
        <v>un</v>
      </c>
      <c r="F61" s="19" t="n">
        <f aca="false">IFERROR(INDEX(Insumos_CustoUnit,MATCH($C61,Insumos_Ingrediente,0)),0)</f>
        <v>0.1668</v>
      </c>
      <c r="G61" s="19" t="n">
        <f aca="false">$D61*$F61</f>
        <v>0.1668</v>
      </c>
      <c r="H61" s="38" t="n">
        <f aca="false">IF(OR($E61="g",$E61="ml"),$D61,0)</f>
        <v>0</v>
      </c>
      <c r="I61" s="38" t="n">
        <f aca="false">IF($C61="Açaí",1,0)</f>
        <v>0</v>
      </c>
      <c r="J61" s="38" t="n">
        <f aca="false">IF($C61="Banana",1,0)</f>
        <v>0</v>
      </c>
      <c r="K61" s="38" t="n">
        <f aca="false">IF($C61="Whey Protein",1,0)</f>
        <v>0</v>
      </c>
      <c r="L61" s="38" t="n">
        <f aca="false">IF(ISNUMBER(SEARCH("Copo",$C61)),1,0)</f>
        <v>1</v>
      </c>
    </row>
    <row r="62" customFormat="false" ht="15" hidden="false" customHeight="true" outlineLevel="0" collapsed="false">
      <c r="A62" s="29" t="s">
        <v>181</v>
      </c>
      <c r="B62" s="35" t="str">
        <f aca="false">IF($C62="","",IFERROR(INDEX(Insumos_Categoria,MATCH($C62,Insumos_Ingrediente,0)),""))</f>
        <v>Embalagens</v>
      </c>
      <c r="C62" s="29" t="s">
        <v>125</v>
      </c>
      <c r="D62" s="36" t="n">
        <v>1</v>
      </c>
      <c r="E62" s="35" t="str">
        <f aca="false">IF($C62="","",IFERROR(INDEX(Insumos_Unidade,MATCH($C62,Insumos_Ingrediente,0)),""))</f>
        <v>un</v>
      </c>
      <c r="F62" s="19" t="n">
        <f aca="false">IFERROR(INDEX(Insumos_CustoUnit,MATCH($C62,Insumos_Ingrediente,0)),0)</f>
        <v>0.0823</v>
      </c>
      <c r="G62" s="19" t="n">
        <f aca="false">$D62*$F62</f>
        <v>0.0823</v>
      </c>
      <c r="H62" s="38" t="n">
        <f aca="false">IF(OR($E62="g",$E62="ml"),$D62,0)</f>
        <v>0</v>
      </c>
      <c r="I62" s="38" t="n">
        <f aca="false">IF($C62="Açaí",1,0)</f>
        <v>0</v>
      </c>
      <c r="J62" s="38" t="n">
        <f aca="false">IF($C62="Banana",1,0)</f>
        <v>0</v>
      </c>
      <c r="K62" s="38" t="n">
        <f aca="false">IF($C62="Whey Protein",1,0)</f>
        <v>0</v>
      </c>
      <c r="L62" s="38" t="n">
        <f aca="false">IF(ISNUMBER(SEARCH("Copo",$C62)),1,0)</f>
        <v>0</v>
      </c>
    </row>
    <row r="63" customFormat="false" ht="15" hidden="false" customHeight="true" outlineLevel="0" collapsed="false">
      <c r="A63" s="29" t="s">
        <v>181</v>
      </c>
      <c r="B63" s="35" t="str">
        <f aca="false">IF($C63="","",IFERROR(INDEX(Insumos_Categoria,MATCH($C63,Insumos_Ingrediente,0)),""))</f>
        <v>Consumíveis</v>
      </c>
      <c r="C63" s="29" t="s">
        <v>141</v>
      </c>
      <c r="D63" s="36" t="n">
        <v>1</v>
      </c>
      <c r="E63" s="35" t="str">
        <f aca="false">IF($C63="","",IFERROR(INDEX(Insumos_Unidade,MATCH($C63,Insumos_Ingrediente,0)),""))</f>
        <v>un</v>
      </c>
      <c r="F63" s="19" t="n">
        <f aca="false">IFERROR(INDEX(Insumos_CustoUnit,MATCH($C63,Insumos_Ingrediente,0)),0)</f>
        <v>0.0938</v>
      </c>
      <c r="G63" s="19" t="n">
        <f aca="false">$D63*$F63</f>
        <v>0.0938</v>
      </c>
      <c r="H63" s="38" t="n">
        <f aca="false">IF(OR($E63="g",$E63="ml"),$D63,0)</f>
        <v>0</v>
      </c>
      <c r="I63" s="38" t="n">
        <f aca="false">IF($C63="Açaí",1,0)</f>
        <v>0</v>
      </c>
      <c r="J63" s="38" t="n">
        <f aca="false">IF($C63="Banana",1,0)</f>
        <v>0</v>
      </c>
      <c r="K63" s="38" t="n">
        <f aca="false">IF($C63="Whey Protein",1,0)</f>
        <v>0</v>
      </c>
      <c r="L63" s="38" t="n">
        <f aca="false">IF(ISNUMBER(SEARCH("Copo",$C63)),1,0)</f>
        <v>0</v>
      </c>
    </row>
    <row r="64" customFormat="false" ht="15" hidden="false" customHeight="true" outlineLevel="0" collapsed="false">
      <c r="A64" s="29" t="s">
        <v>181</v>
      </c>
      <c r="B64" s="35" t="str">
        <f aca="false">IF($C64="","",IFERROR(INDEX(Insumos_Categoria,MATCH($C64,Insumos_Ingrediente,0)),""))</f>
        <v>Consumíveis</v>
      </c>
      <c r="C64" s="29" t="s">
        <v>143</v>
      </c>
      <c r="D64" s="36" t="n">
        <v>1</v>
      </c>
      <c r="E64" s="35" t="str">
        <f aca="false">IF($C64="","",IFERROR(INDEX(Insumos_Unidade,MATCH($C64,Insumos_Ingrediente,0)),""))</f>
        <v>un</v>
      </c>
      <c r="F64" s="19" t="n">
        <f aca="false">IFERROR(INDEX(Insumos_CustoUnit,MATCH($C64,Insumos_Ingrediente,0)),0)</f>
        <v>0</v>
      </c>
      <c r="G64" s="19" t="n">
        <f aca="false">$D64*$F64</f>
        <v>0</v>
      </c>
      <c r="H64" s="38" t="n">
        <f aca="false">IF(OR($E64="g",$E64="ml"),$D64,0)</f>
        <v>0</v>
      </c>
      <c r="I64" s="38" t="n">
        <f aca="false">IF($C64="Açaí",1,0)</f>
        <v>0</v>
      </c>
      <c r="J64" s="38" t="n">
        <f aca="false">IF($C64="Banana",1,0)</f>
        <v>0</v>
      </c>
      <c r="K64" s="38" t="n">
        <f aca="false">IF($C64="Whey Protein",1,0)</f>
        <v>0</v>
      </c>
      <c r="L64" s="38" t="n">
        <f aca="false">IF(ISNUMBER(SEARCH("Copo",$C64)),1,0)</f>
        <v>0</v>
      </c>
    </row>
    <row r="65" customFormat="false" ht="15" hidden="false" customHeight="true" outlineLevel="0" collapsed="false">
      <c r="A65" s="29" t="s">
        <v>182</v>
      </c>
      <c r="B65" s="35" t="str">
        <f aca="false">IF($C65="","",IFERROR(INDEX(Insumos_Categoria,MATCH($C65,Insumos_Ingrediente,0)),""))</f>
        <v>Bases (Produção Própria)</v>
      </c>
      <c r="C65" s="29" t="s">
        <v>88</v>
      </c>
      <c r="D65" s="36" t="n">
        <v>270</v>
      </c>
      <c r="E65" s="35" t="str">
        <f aca="false">IF($C65="","",IFERROR(INDEX(Insumos_Unidade,MATCH($C65,Insumos_Ingrediente,0)),""))</f>
        <v>ml</v>
      </c>
      <c r="F65" s="19" t="n">
        <f aca="false">IFERROR(INDEX(Insumos_CustoUnit,MATCH($C65,Insumos_Ingrediente,0)),0)</f>
        <v>0.0165</v>
      </c>
      <c r="G65" s="19" t="n">
        <f aca="false">$D65*$F65</f>
        <v>4.455</v>
      </c>
      <c r="H65" s="37" t="n">
        <f aca="false">IF(OR($E65="g",$E65="ml"),$D65,0)</f>
        <v>270</v>
      </c>
      <c r="I65" s="38" t="n">
        <f aca="false">IF($C65="Açaí",1,0)</f>
        <v>1</v>
      </c>
      <c r="J65" s="38" t="n">
        <f aca="false">IF($C65="Banana",1,0)</f>
        <v>0</v>
      </c>
      <c r="K65" s="38" t="n">
        <f aca="false">IF($C65="Whey Protein",1,0)</f>
        <v>0</v>
      </c>
      <c r="L65" s="38" t="n">
        <f aca="false">IF(ISNUMBER(SEARCH("Copo",$C65)),1,0)</f>
        <v>0</v>
      </c>
    </row>
    <row r="66" customFormat="false" ht="15" hidden="false" customHeight="true" outlineLevel="0" collapsed="false">
      <c r="A66" s="29" t="s">
        <v>182</v>
      </c>
      <c r="B66" s="35" t="str">
        <f aca="false">IF($C66="","",IFERROR(INDEX(Insumos_Categoria,MATCH($C66,Insumos_Ingrediente,0)),""))</f>
        <v>Coberturas (30g)</v>
      </c>
      <c r="C66" s="29" t="s">
        <v>100</v>
      </c>
      <c r="D66" s="36" t="n">
        <v>30</v>
      </c>
      <c r="E66" s="35" t="str">
        <f aca="false">IF($C66="","",IFERROR(INDEX(Insumos_Unidade,MATCH($C66,Insumos_Ingrediente,0)),""))</f>
        <v>g</v>
      </c>
      <c r="F66" s="19" t="n">
        <f aca="false">IFERROR(INDEX(Insumos_CustoUnit,MATCH($C66,Insumos_Ingrediente,0)),0)</f>
        <v>0.00230769230769231</v>
      </c>
      <c r="G66" s="19" t="n">
        <f aca="false">$D66*$F66</f>
        <v>0.0692307692307692</v>
      </c>
      <c r="H66" s="37" t="n">
        <f aca="false">IF(OR($E66="g",$E66="ml"),$D66,0)</f>
        <v>30</v>
      </c>
      <c r="I66" s="38" t="n">
        <f aca="false">IF($C66="Açaí",1,0)</f>
        <v>0</v>
      </c>
      <c r="J66" s="38" t="n">
        <f aca="false">IF($C66="Banana",1,0)</f>
        <v>1</v>
      </c>
      <c r="K66" s="38" t="n">
        <f aca="false">IF($C66="Whey Protein",1,0)</f>
        <v>0</v>
      </c>
      <c r="L66" s="38" t="n">
        <f aca="false">IF(ISNUMBER(SEARCH("Copo",$C66)),1,0)</f>
        <v>0</v>
      </c>
    </row>
    <row r="67" customFormat="false" ht="15" hidden="false" customHeight="true" outlineLevel="0" collapsed="false">
      <c r="A67" s="29" t="s">
        <v>182</v>
      </c>
      <c r="B67" s="35" t="str">
        <f aca="false">IF($C67="","",IFERROR(INDEX(Insumos_Categoria,MATCH($C67,Insumos_Ingrediente,0)),""))</f>
        <v>Coberturas (30g)</v>
      </c>
      <c r="C67" s="29" t="s">
        <v>104</v>
      </c>
      <c r="D67" s="36" t="n">
        <v>30</v>
      </c>
      <c r="E67" s="35" t="str">
        <f aca="false">IF($C67="","",IFERROR(INDEX(Insumos_Unidade,MATCH($C67,Insumos_Ingrediente,0)),""))</f>
        <v>g</v>
      </c>
      <c r="F67" s="19" t="n">
        <f aca="false">IFERROR(INDEX(Insumos_CustoUnit,MATCH($C67,Insumos_Ingrediente,0)),0)</f>
        <v>0.02233</v>
      </c>
      <c r="G67" s="19" t="n">
        <f aca="false">$D67*$F67</f>
        <v>0.6699</v>
      </c>
      <c r="H67" s="37" t="n">
        <f aca="false">IF(OR($E67="g",$E67="ml"),$D67,0)</f>
        <v>30</v>
      </c>
      <c r="I67" s="38" t="n">
        <f aca="false">IF($C67="Açaí",1,0)</f>
        <v>0</v>
      </c>
      <c r="J67" s="38" t="n">
        <f aca="false">IF($C67="Banana",1,0)</f>
        <v>0</v>
      </c>
      <c r="K67" s="38" t="n">
        <f aca="false">IF($C67="Whey Protein",1,0)</f>
        <v>0</v>
      </c>
      <c r="L67" s="38" t="n">
        <f aca="false">IF(ISNUMBER(SEARCH("Copo",$C67)),1,0)</f>
        <v>0</v>
      </c>
    </row>
    <row r="68" customFormat="false" ht="15" hidden="false" customHeight="true" outlineLevel="0" collapsed="false">
      <c r="A68" s="29" t="s">
        <v>182</v>
      </c>
      <c r="B68" s="35" t="str">
        <f aca="false">IF($C68="","",IFERROR(INDEX(Insumos_Categoria,MATCH($C68,Insumos_Ingrediente,0)),""))</f>
        <v>Coberturas (30g)</v>
      </c>
      <c r="C68" s="29" t="s">
        <v>103</v>
      </c>
      <c r="D68" s="36" t="n">
        <v>30</v>
      </c>
      <c r="E68" s="35" t="str">
        <f aca="false">IF($C68="","",IFERROR(INDEX(Insumos_Unidade,MATCH($C68,Insumos_Ingrediente,0)),""))</f>
        <v>g</v>
      </c>
      <c r="F68" s="19" t="n">
        <f aca="false">IFERROR(INDEX(Insumos_CustoUnit,MATCH($C68,Insumos_Ingrediente,0)),0)</f>
        <v>0.01213</v>
      </c>
      <c r="G68" s="19" t="n">
        <f aca="false">$D68*$F68</f>
        <v>0.3639</v>
      </c>
      <c r="H68" s="37" t="n">
        <f aca="false">IF(OR($E68="g",$E68="ml"),$D68,0)</f>
        <v>30</v>
      </c>
      <c r="I68" s="38" t="n">
        <f aca="false">IF($C68="Açaí",1,0)</f>
        <v>0</v>
      </c>
      <c r="J68" s="38" t="n">
        <f aca="false">IF($C68="Banana",1,0)</f>
        <v>0</v>
      </c>
      <c r="K68" s="38" t="n">
        <f aca="false">IF($C68="Whey Protein",1,0)</f>
        <v>0</v>
      </c>
      <c r="L68" s="38" t="n">
        <f aca="false">IF(ISNUMBER(SEARCH("Copo",$C68)),1,0)</f>
        <v>0</v>
      </c>
    </row>
    <row r="69" customFormat="false" ht="15" hidden="false" customHeight="true" outlineLevel="0" collapsed="false">
      <c r="A69" s="29" t="s">
        <v>182</v>
      </c>
      <c r="B69" s="35" t="str">
        <f aca="false">IF($C69="","",IFERROR(INDEX(Insumos_Categoria,MATCH($C69,Insumos_Ingrediente,0)),""))</f>
        <v>Coberturas (30g)</v>
      </c>
      <c r="C69" s="29" t="s">
        <v>102</v>
      </c>
      <c r="D69" s="36" t="n">
        <v>30</v>
      </c>
      <c r="E69" s="35" t="str">
        <f aca="false">IF($C69="","",IFERROR(INDEX(Insumos_Unidade,MATCH($C69,Insumos_Ingrediente,0)),""))</f>
        <v>g</v>
      </c>
      <c r="F69" s="19" t="n">
        <f aca="false">IFERROR(INDEX(Insumos_CustoUnit,MATCH($C69,Insumos_Ingrediente,0)),0)</f>
        <v>0.02</v>
      </c>
      <c r="G69" s="19" t="n">
        <f aca="false">$D69*$F69</f>
        <v>0.6</v>
      </c>
      <c r="H69" s="37" t="n">
        <f aca="false">IF(OR($E69="g",$E69="ml"),$D69,0)</f>
        <v>30</v>
      </c>
      <c r="I69" s="38" t="n">
        <f aca="false">IF($C69="Açaí",1,0)</f>
        <v>0</v>
      </c>
      <c r="J69" s="38" t="n">
        <f aca="false">IF($C69="Banana",1,0)</f>
        <v>0</v>
      </c>
      <c r="K69" s="38" t="n">
        <f aca="false">IF($C69="Whey Protein",1,0)</f>
        <v>0</v>
      </c>
      <c r="L69" s="38" t="n">
        <f aca="false">IF(ISNUMBER(SEARCH("Copo",$C69)),1,0)</f>
        <v>0</v>
      </c>
    </row>
    <row r="70" customFormat="false" ht="15" hidden="false" customHeight="true" outlineLevel="0" collapsed="false">
      <c r="A70" s="29" t="s">
        <v>182</v>
      </c>
      <c r="B70" s="35" t="str">
        <f aca="false">IF($C70="","",IFERROR(INDEX(Insumos_Categoria,MATCH($C70,Insumos_Ingrediente,0)),""))</f>
        <v>Embalagens</v>
      </c>
      <c r="C70" s="29" t="s">
        <v>123</v>
      </c>
      <c r="D70" s="36" t="n">
        <v>1</v>
      </c>
      <c r="E70" s="35" t="str">
        <f aca="false">IF($C70="","",IFERROR(INDEX(Insumos_Unidade,MATCH($C70,Insumos_Ingrediente,0)),""))</f>
        <v>un</v>
      </c>
      <c r="F70" s="19" t="n">
        <f aca="false">IFERROR(INDEX(Insumos_CustoUnit,MATCH($C70,Insumos_Ingrediente,0)),0)</f>
        <v>0.15372</v>
      </c>
      <c r="G70" s="19" t="n">
        <f aca="false">$D70*$F70</f>
        <v>0.15372</v>
      </c>
      <c r="H70" s="38" t="n">
        <f aca="false">IF(OR($E70="g",$E70="ml"),$D70,0)</f>
        <v>0</v>
      </c>
      <c r="I70" s="38" t="n">
        <f aca="false">IF($C70="Açaí",1,0)</f>
        <v>0</v>
      </c>
      <c r="J70" s="38" t="n">
        <f aca="false">IF($C70="Banana",1,0)</f>
        <v>0</v>
      </c>
      <c r="K70" s="38" t="n">
        <f aca="false">IF($C70="Whey Protein",1,0)</f>
        <v>0</v>
      </c>
      <c r="L70" s="38" t="n">
        <f aca="false">IF(ISNUMBER(SEARCH("Copo",$C70)),1,0)</f>
        <v>1</v>
      </c>
    </row>
    <row r="71" customFormat="false" ht="15" hidden="false" customHeight="true" outlineLevel="0" collapsed="false">
      <c r="A71" s="29" t="s">
        <v>182</v>
      </c>
      <c r="B71" s="35" t="str">
        <f aca="false">IF($C71="","",IFERROR(INDEX(Insumos_Categoria,MATCH($C71,Insumos_Ingrediente,0)),""))</f>
        <v>Embalagens</v>
      </c>
      <c r="C71" s="29" t="s">
        <v>126</v>
      </c>
      <c r="D71" s="36" t="n">
        <v>1</v>
      </c>
      <c r="E71" s="35" t="str">
        <f aca="false">IF($C71="","",IFERROR(INDEX(Insumos_Unidade,MATCH($C71,Insumos_Ingrediente,0)),""))</f>
        <v>un</v>
      </c>
      <c r="F71" s="19" t="n">
        <f aca="false">IFERROR(INDEX(Insumos_CustoUnit,MATCH($C71,Insumos_Ingrediente,0)),0)</f>
        <v>0.0823</v>
      </c>
      <c r="G71" s="19" t="n">
        <f aca="false">$D71*$F71</f>
        <v>0.0823</v>
      </c>
      <c r="H71" s="38" t="n">
        <f aca="false">IF(OR($E71="g",$E71="ml"),$D71,0)</f>
        <v>0</v>
      </c>
      <c r="I71" s="38" t="n">
        <f aca="false">IF($C71="Açaí",1,0)</f>
        <v>0</v>
      </c>
      <c r="J71" s="38" t="n">
        <f aca="false">IF($C71="Banana",1,0)</f>
        <v>0</v>
      </c>
      <c r="K71" s="38" t="n">
        <f aca="false">IF($C71="Whey Protein",1,0)</f>
        <v>0</v>
      </c>
      <c r="L71" s="38" t="n">
        <f aca="false">IF(ISNUMBER(SEARCH("Copo",$C71)),1,0)</f>
        <v>0</v>
      </c>
    </row>
    <row r="72" customFormat="false" ht="15" hidden="false" customHeight="true" outlineLevel="0" collapsed="false">
      <c r="A72" s="29" t="s">
        <v>182</v>
      </c>
      <c r="B72" s="35" t="str">
        <f aca="false">IF($C72="","",IFERROR(INDEX(Insumos_Categoria,MATCH($C72,Insumos_Ingrediente,0)),""))</f>
        <v>Consumíveis</v>
      </c>
      <c r="C72" s="29" t="s">
        <v>141</v>
      </c>
      <c r="D72" s="36" t="n">
        <v>1</v>
      </c>
      <c r="E72" s="35" t="str">
        <f aca="false">IF($C72="","",IFERROR(INDEX(Insumos_Unidade,MATCH($C72,Insumos_Ingrediente,0)),""))</f>
        <v>un</v>
      </c>
      <c r="F72" s="19" t="n">
        <f aca="false">IFERROR(INDEX(Insumos_CustoUnit,MATCH($C72,Insumos_Ingrediente,0)),0)</f>
        <v>0.0938</v>
      </c>
      <c r="G72" s="19" t="n">
        <f aca="false">$D72*$F72</f>
        <v>0.0938</v>
      </c>
      <c r="H72" s="38" t="n">
        <f aca="false">IF(OR($E72="g",$E72="ml"),$D72,0)</f>
        <v>0</v>
      </c>
      <c r="I72" s="38" t="n">
        <f aca="false">IF($C72="Açaí",1,0)</f>
        <v>0</v>
      </c>
      <c r="J72" s="38" t="n">
        <f aca="false">IF($C72="Banana",1,0)</f>
        <v>0</v>
      </c>
      <c r="K72" s="38" t="n">
        <f aca="false">IF($C72="Whey Protein",1,0)</f>
        <v>0</v>
      </c>
      <c r="L72" s="38" t="n">
        <f aca="false">IF(ISNUMBER(SEARCH("Copo",$C72)),1,0)</f>
        <v>0</v>
      </c>
    </row>
    <row r="73" customFormat="false" ht="15" hidden="false" customHeight="true" outlineLevel="0" collapsed="false">
      <c r="A73" s="29" t="s">
        <v>182</v>
      </c>
      <c r="B73" s="35" t="str">
        <f aca="false">IF($C73="","",IFERROR(INDEX(Insumos_Categoria,MATCH($C73,Insumos_Ingrediente,0)),""))</f>
        <v>Consumíveis</v>
      </c>
      <c r="C73" s="29" t="s">
        <v>143</v>
      </c>
      <c r="D73" s="36" t="n">
        <v>1</v>
      </c>
      <c r="E73" s="35" t="str">
        <f aca="false">IF($C73="","",IFERROR(INDEX(Insumos_Unidade,MATCH($C73,Insumos_Ingrediente,0)),""))</f>
        <v>un</v>
      </c>
      <c r="F73" s="19" t="n">
        <f aca="false">IFERROR(INDEX(Insumos_CustoUnit,MATCH($C73,Insumos_Ingrediente,0)),0)</f>
        <v>0</v>
      </c>
      <c r="G73" s="19" t="n">
        <f aca="false">$D73*$F73</f>
        <v>0</v>
      </c>
      <c r="H73" s="38" t="n">
        <f aca="false">IF(OR($E73="g",$E73="ml"),$D73,0)</f>
        <v>0</v>
      </c>
      <c r="I73" s="38" t="n">
        <f aca="false">IF($C73="Açaí",1,0)</f>
        <v>0</v>
      </c>
      <c r="J73" s="38" t="n">
        <f aca="false">IF($C73="Banana",1,0)</f>
        <v>0</v>
      </c>
      <c r="K73" s="38" t="n">
        <f aca="false">IF($C73="Whey Protein",1,0)</f>
        <v>0</v>
      </c>
      <c r="L73" s="38" t="n">
        <f aca="false">IF(ISNUMBER(SEARCH("Copo",$C73)),1,0)</f>
        <v>0</v>
      </c>
    </row>
    <row r="74" customFormat="false" ht="15" hidden="false" customHeight="true" outlineLevel="0" collapsed="false">
      <c r="A74" s="29" t="s">
        <v>183</v>
      </c>
      <c r="B74" s="35" t="str">
        <f aca="false">IF($C74="","",IFERROR(INDEX(Insumos_Categoria,MATCH($C74,Insumos_Ingrediente,0)),""))</f>
        <v>Bases (Produção Própria)</v>
      </c>
      <c r="C74" s="29" t="s">
        <v>88</v>
      </c>
      <c r="D74" s="36" t="n">
        <v>470</v>
      </c>
      <c r="E74" s="35" t="str">
        <f aca="false">IF($C74="","",IFERROR(INDEX(Insumos_Unidade,MATCH($C74,Insumos_Ingrediente,0)),""))</f>
        <v>ml</v>
      </c>
      <c r="F74" s="19" t="n">
        <f aca="false">IFERROR(INDEX(Insumos_CustoUnit,MATCH($C74,Insumos_Ingrediente,0)),0)</f>
        <v>0.0165</v>
      </c>
      <c r="G74" s="19" t="n">
        <f aca="false">$D74*$F74</f>
        <v>7.755</v>
      </c>
      <c r="H74" s="37" t="n">
        <f aca="false">IF(OR($E74="g",$E74="ml"),$D74,0)</f>
        <v>470</v>
      </c>
      <c r="I74" s="38" t="n">
        <f aca="false">IF($C74="Açaí",1,0)</f>
        <v>1</v>
      </c>
      <c r="J74" s="38" t="n">
        <f aca="false">IF($C74="Banana",1,0)</f>
        <v>0</v>
      </c>
      <c r="K74" s="38" t="n">
        <f aca="false">IF($C74="Whey Protein",1,0)</f>
        <v>0</v>
      </c>
      <c r="L74" s="38" t="n">
        <f aca="false">IF(ISNUMBER(SEARCH("Copo",$C74)),1,0)</f>
        <v>0</v>
      </c>
    </row>
    <row r="75" customFormat="false" ht="15" hidden="false" customHeight="true" outlineLevel="0" collapsed="false">
      <c r="A75" s="29" t="s">
        <v>183</v>
      </c>
      <c r="B75" s="35" t="str">
        <f aca="false">IF($C75="","",IFERROR(INDEX(Insumos_Categoria,MATCH($C75,Insumos_Ingrediente,0)),""))</f>
        <v>Coberturas (30g)</v>
      </c>
      <c r="C75" s="29" t="s">
        <v>100</v>
      </c>
      <c r="D75" s="36" t="n">
        <v>30</v>
      </c>
      <c r="E75" s="35" t="str">
        <f aca="false">IF($C75="","",IFERROR(INDEX(Insumos_Unidade,MATCH($C75,Insumos_Ingrediente,0)),""))</f>
        <v>g</v>
      </c>
      <c r="F75" s="19" t="n">
        <f aca="false">IFERROR(INDEX(Insumos_CustoUnit,MATCH($C75,Insumos_Ingrediente,0)),0)</f>
        <v>0.00230769230769231</v>
      </c>
      <c r="G75" s="19" t="n">
        <f aca="false">$D75*$F75</f>
        <v>0.0692307692307692</v>
      </c>
      <c r="H75" s="37" t="n">
        <f aca="false">IF(OR($E75="g",$E75="ml"),$D75,0)</f>
        <v>30</v>
      </c>
      <c r="I75" s="38" t="n">
        <f aca="false">IF($C75="Açaí",1,0)</f>
        <v>0</v>
      </c>
      <c r="J75" s="38" t="n">
        <f aca="false">IF($C75="Banana",1,0)</f>
        <v>1</v>
      </c>
      <c r="K75" s="38" t="n">
        <f aca="false">IF($C75="Whey Protein",1,0)</f>
        <v>0</v>
      </c>
      <c r="L75" s="38" t="n">
        <f aca="false">IF(ISNUMBER(SEARCH("Copo",$C75)),1,0)</f>
        <v>0</v>
      </c>
    </row>
    <row r="76" customFormat="false" ht="15" hidden="false" customHeight="true" outlineLevel="0" collapsed="false">
      <c r="A76" s="29" t="s">
        <v>183</v>
      </c>
      <c r="B76" s="35" t="str">
        <f aca="false">IF($C76="","",IFERROR(INDEX(Insumos_Categoria,MATCH($C76,Insumos_Ingrediente,0)),""))</f>
        <v>Coberturas (30g)</v>
      </c>
      <c r="C76" s="29" t="s">
        <v>104</v>
      </c>
      <c r="D76" s="36" t="n">
        <v>30</v>
      </c>
      <c r="E76" s="35" t="str">
        <f aca="false">IF($C76="","",IFERROR(INDEX(Insumos_Unidade,MATCH($C76,Insumos_Ingrediente,0)),""))</f>
        <v>g</v>
      </c>
      <c r="F76" s="19" t="n">
        <f aca="false">IFERROR(INDEX(Insumos_CustoUnit,MATCH($C76,Insumos_Ingrediente,0)),0)</f>
        <v>0.02233</v>
      </c>
      <c r="G76" s="19" t="n">
        <f aca="false">$D76*$F76</f>
        <v>0.6699</v>
      </c>
      <c r="H76" s="37" t="n">
        <f aca="false">IF(OR($E76="g",$E76="ml"),$D76,0)</f>
        <v>30</v>
      </c>
      <c r="I76" s="38" t="n">
        <f aca="false">IF($C76="Açaí",1,0)</f>
        <v>0</v>
      </c>
      <c r="J76" s="38" t="n">
        <f aca="false">IF($C76="Banana",1,0)</f>
        <v>0</v>
      </c>
      <c r="K76" s="38" t="n">
        <f aca="false">IF($C76="Whey Protein",1,0)</f>
        <v>0</v>
      </c>
      <c r="L76" s="38" t="n">
        <f aca="false">IF(ISNUMBER(SEARCH("Copo",$C76)),1,0)</f>
        <v>0</v>
      </c>
    </row>
    <row r="77" customFormat="false" ht="15" hidden="false" customHeight="true" outlineLevel="0" collapsed="false">
      <c r="A77" s="29" t="s">
        <v>183</v>
      </c>
      <c r="B77" s="35" t="str">
        <f aca="false">IF($C77="","",IFERROR(INDEX(Insumos_Categoria,MATCH($C77,Insumos_Ingrediente,0)),""))</f>
        <v>Coberturas (30g)</v>
      </c>
      <c r="C77" s="29" t="s">
        <v>103</v>
      </c>
      <c r="D77" s="36" t="n">
        <v>30</v>
      </c>
      <c r="E77" s="35" t="str">
        <f aca="false">IF($C77="","",IFERROR(INDEX(Insumos_Unidade,MATCH($C77,Insumos_Ingrediente,0)),""))</f>
        <v>g</v>
      </c>
      <c r="F77" s="19" t="n">
        <f aca="false">IFERROR(INDEX(Insumos_CustoUnit,MATCH($C77,Insumos_Ingrediente,0)),0)</f>
        <v>0.01213</v>
      </c>
      <c r="G77" s="19" t="n">
        <f aca="false">$D77*$F77</f>
        <v>0.3639</v>
      </c>
      <c r="H77" s="37" t="n">
        <f aca="false">IF(OR($E77="g",$E77="ml"),$D77,0)</f>
        <v>30</v>
      </c>
      <c r="I77" s="38" t="n">
        <f aca="false">IF($C77="Açaí",1,0)</f>
        <v>0</v>
      </c>
      <c r="J77" s="38" t="n">
        <f aca="false">IF($C77="Banana",1,0)</f>
        <v>0</v>
      </c>
      <c r="K77" s="38" t="n">
        <f aca="false">IF($C77="Whey Protein",1,0)</f>
        <v>0</v>
      </c>
      <c r="L77" s="38" t="n">
        <f aca="false">IF(ISNUMBER(SEARCH("Copo",$C77)),1,0)</f>
        <v>0</v>
      </c>
    </row>
    <row r="78" customFormat="false" ht="15" hidden="false" customHeight="true" outlineLevel="0" collapsed="false">
      <c r="A78" s="29" t="s">
        <v>183</v>
      </c>
      <c r="B78" s="35" t="str">
        <f aca="false">IF($C78="","",IFERROR(INDEX(Insumos_Categoria,MATCH($C78,Insumos_Ingrediente,0)),""))</f>
        <v>Coberturas (30g)</v>
      </c>
      <c r="C78" s="29" t="s">
        <v>102</v>
      </c>
      <c r="D78" s="36" t="n">
        <v>30</v>
      </c>
      <c r="E78" s="35" t="str">
        <f aca="false">IF($C78="","",IFERROR(INDEX(Insumos_Unidade,MATCH($C78,Insumos_Ingrediente,0)),""))</f>
        <v>g</v>
      </c>
      <c r="F78" s="19" t="n">
        <f aca="false">IFERROR(INDEX(Insumos_CustoUnit,MATCH($C78,Insumos_Ingrediente,0)),0)</f>
        <v>0.02</v>
      </c>
      <c r="G78" s="19" t="n">
        <f aca="false">$D78*$F78</f>
        <v>0.6</v>
      </c>
      <c r="H78" s="37" t="n">
        <f aca="false">IF(OR($E78="g",$E78="ml"),$D78,0)</f>
        <v>30</v>
      </c>
      <c r="I78" s="38" t="n">
        <f aca="false">IF($C78="Açaí",1,0)</f>
        <v>0</v>
      </c>
      <c r="J78" s="38" t="n">
        <f aca="false">IF($C78="Banana",1,0)</f>
        <v>0</v>
      </c>
      <c r="K78" s="38" t="n">
        <f aca="false">IF($C78="Whey Protein",1,0)</f>
        <v>0</v>
      </c>
      <c r="L78" s="38" t="n">
        <f aca="false">IF(ISNUMBER(SEARCH("Copo",$C78)),1,0)</f>
        <v>0</v>
      </c>
    </row>
    <row r="79" customFormat="false" ht="15" hidden="false" customHeight="true" outlineLevel="0" collapsed="false">
      <c r="A79" s="29" t="s">
        <v>183</v>
      </c>
      <c r="B79" s="35" t="str">
        <f aca="false">IF($C79="","",IFERROR(INDEX(Insumos_Categoria,MATCH($C79,Insumos_Ingrediente,0)),""))</f>
        <v>Embalagens</v>
      </c>
      <c r="C79" s="29" t="s">
        <v>124</v>
      </c>
      <c r="D79" s="36" t="n">
        <v>1</v>
      </c>
      <c r="E79" s="35" t="str">
        <f aca="false">IF($C79="","",IFERROR(INDEX(Insumos_Unidade,MATCH($C79,Insumos_Ingrediente,0)),""))</f>
        <v>un</v>
      </c>
      <c r="F79" s="19" t="n">
        <f aca="false">IFERROR(INDEX(Insumos_CustoUnit,MATCH($C79,Insumos_Ingrediente,0)),0)</f>
        <v>0.24365</v>
      </c>
      <c r="G79" s="19" t="n">
        <f aca="false">$D79*$F79</f>
        <v>0.24365</v>
      </c>
      <c r="H79" s="38" t="n">
        <f aca="false">IF(OR($E79="g",$E79="ml"),$D79,0)</f>
        <v>0</v>
      </c>
      <c r="I79" s="38" t="n">
        <f aca="false">IF($C79="Açaí",1,0)</f>
        <v>0</v>
      </c>
      <c r="J79" s="38" t="n">
        <f aca="false">IF($C79="Banana",1,0)</f>
        <v>0</v>
      </c>
      <c r="K79" s="38" t="n">
        <f aca="false">IF($C79="Whey Protein",1,0)</f>
        <v>0</v>
      </c>
      <c r="L79" s="38" t="n">
        <f aca="false">IF(ISNUMBER(SEARCH("Copo",$C79)),1,0)</f>
        <v>1</v>
      </c>
    </row>
    <row r="80" customFormat="false" ht="15" hidden="false" customHeight="true" outlineLevel="0" collapsed="false">
      <c r="A80" s="29" t="s">
        <v>183</v>
      </c>
      <c r="B80" s="35" t="str">
        <f aca="false">IF($C80="","",IFERROR(INDEX(Insumos_Categoria,MATCH($C80,Insumos_Ingrediente,0)),""))</f>
        <v>Embalagens</v>
      </c>
      <c r="C80" s="29" t="s">
        <v>127</v>
      </c>
      <c r="D80" s="36" t="n">
        <v>1</v>
      </c>
      <c r="E80" s="35" t="str">
        <f aca="false">IF($C80="","",IFERROR(INDEX(Insumos_Unidade,MATCH($C80,Insumos_Ingrediente,0)),""))</f>
        <v>un</v>
      </c>
      <c r="F80" s="19" t="n">
        <f aca="false">IFERROR(INDEX(Insumos_CustoUnit,MATCH($C80,Insumos_Ingrediente,0)),0)</f>
        <v>0.0923</v>
      </c>
      <c r="G80" s="19" t="n">
        <f aca="false">$D80*$F80</f>
        <v>0.0923</v>
      </c>
      <c r="H80" s="38" t="n">
        <f aca="false">IF(OR($E80="g",$E80="ml"),$D80,0)</f>
        <v>0</v>
      </c>
      <c r="I80" s="38" t="n">
        <f aca="false">IF($C80="Açaí",1,0)</f>
        <v>0</v>
      </c>
      <c r="J80" s="38" t="n">
        <f aca="false">IF($C80="Banana",1,0)</f>
        <v>0</v>
      </c>
      <c r="K80" s="38" t="n">
        <f aca="false">IF($C80="Whey Protein",1,0)</f>
        <v>0</v>
      </c>
      <c r="L80" s="38" t="n">
        <f aca="false">IF(ISNUMBER(SEARCH("Copo",$C80)),1,0)</f>
        <v>0</v>
      </c>
    </row>
    <row r="81" customFormat="false" ht="15" hidden="false" customHeight="true" outlineLevel="0" collapsed="false">
      <c r="A81" s="29" t="s">
        <v>183</v>
      </c>
      <c r="B81" s="35" t="str">
        <f aca="false">IF($C81="","",IFERROR(INDEX(Insumos_Categoria,MATCH($C81,Insumos_Ingrediente,0)),""))</f>
        <v>Consumíveis</v>
      </c>
      <c r="C81" s="29" t="s">
        <v>141</v>
      </c>
      <c r="D81" s="36" t="n">
        <v>1</v>
      </c>
      <c r="E81" s="35" t="str">
        <f aca="false">IF($C81="","",IFERROR(INDEX(Insumos_Unidade,MATCH($C81,Insumos_Ingrediente,0)),""))</f>
        <v>un</v>
      </c>
      <c r="F81" s="19" t="n">
        <f aca="false">IFERROR(INDEX(Insumos_CustoUnit,MATCH($C81,Insumos_Ingrediente,0)),0)</f>
        <v>0.0938</v>
      </c>
      <c r="G81" s="19" t="n">
        <f aca="false">$D81*$F81</f>
        <v>0.0938</v>
      </c>
      <c r="H81" s="38" t="n">
        <f aca="false">IF(OR($E81="g",$E81="ml"),$D81,0)</f>
        <v>0</v>
      </c>
      <c r="I81" s="38" t="n">
        <f aca="false">IF($C81="Açaí",1,0)</f>
        <v>0</v>
      </c>
      <c r="J81" s="38" t="n">
        <f aca="false">IF($C81="Banana",1,0)</f>
        <v>0</v>
      </c>
      <c r="K81" s="38" t="n">
        <f aca="false">IF($C81="Whey Protein",1,0)</f>
        <v>0</v>
      </c>
      <c r="L81" s="38" t="n">
        <f aca="false">IF(ISNUMBER(SEARCH("Copo",$C81)),1,0)</f>
        <v>0</v>
      </c>
    </row>
    <row r="82" customFormat="false" ht="15" hidden="false" customHeight="true" outlineLevel="0" collapsed="false">
      <c r="A82" s="29" t="s">
        <v>183</v>
      </c>
      <c r="B82" s="35" t="str">
        <f aca="false">IF($C82="","",IFERROR(INDEX(Insumos_Categoria,MATCH($C82,Insumos_Ingrediente,0)),""))</f>
        <v>Consumíveis</v>
      </c>
      <c r="C82" s="29" t="s">
        <v>143</v>
      </c>
      <c r="D82" s="36" t="n">
        <v>1</v>
      </c>
      <c r="E82" s="35" t="str">
        <f aca="false">IF($C82="","",IFERROR(INDEX(Insumos_Unidade,MATCH($C82,Insumos_Ingrediente,0)),""))</f>
        <v>un</v>
      </c>
      <c r="F82" s="19" t="n">
        <f aca="false">IFERROR(INDEX(Insumos_CustoUnit,MATCH($C82,Insumos_Ingrediente,0)),0)</f>
        <v>0</v>
      </c>
      <c r="G82" s="19" t="n">
        <f aca="false">$D82*$F82</f>
        <v>0</v>
      </c>
      <c r="H82" s="38" t="n">
        <f aca="false">IF(OR($E82="g",$E82="ml"),$D82,0)</f>
        <v>0</v>
      </c>
      <c r="I82" s="38" t="n">
        <f aca="false">IF($C82="Açaí",1,0)</f>
        <v>0</v>
      </c>
      <c r="J82" s="38" t="n">
        <f aca="false">IF($C82="Banana",1,0)</f>
        <v>0</v>
      </c>
      <c r="K82" s="38" t="n">
        <f aca="false">IF($C82="Whey Protein",1,0)</f>
        <v>0</v>
      </c>
      <c r="L82" s="38" t="n">
        <f aca="false">IF(ISNUMBER(SEARCH("Copo",$C82)),1,0)</f>
        <v>0</v>
      </c>
    </row>
    <row r="83" customFormat="false" ht="15" hidden="false" customHeight="true" outlineLevel="0" collapsed="false">
      <c r="A83" s="29" t="s">
        <v>184</v>
      </c>
      <c r="B83" s="35" t="str">
        <f aca="false">IF($C83="","",IFERROR(INDEX(Insumos_Categoria,MATCH($C83,Insumos_Ingrediente,0)),""))</f>
        <v>Bases (Produção Própria)</v>
      </c>
      <c r="C83" s="29" t="s">
        <v>88</v>
      </c>
      <c r="D83" s="36" t="n">
        <v>170</v>
      </c>
      <c r="E83" s="35" t="str">
        <f aca="false">IF($C83="","",IFERROR(INDEX(Insumos_Unidade,MATCH($C83,Insumos_Ingrediente,0)),""))</f>
        <v>ml</v>
      </c>
      <c r="F83" s="19" t="n">
        <f aca="false">IFERROR(INDEX(Insumos_CustoUnit,MATCH($C83,Insumos_Ingrediente,0)),0)</f>
        <v>0.0165</v>
      </c>
      <c r="G83" s="19" t="n">
        <f aca="false">$D83*$F83</f>
        <v>2.805</v>
      </c>
      <c r="H83" s="37" t="n">
        <f aca="false">IF(OR($E83="g",$E83="ml"),$D83,0)</f>
        <v>170</v>
      </c>
      <c r="I83" s="38" t="n">
        <f aca="false">IF($C83="Açaí",1,0)</f>
        <v>1</v>
      </c>
      <c r="J83" s="38" t="n">
        <f aca="false">IF($C83="Banana",1,0)</f>
        <v>0</v>
      </c>
      <c r="K83" s="38" t="n">
        <f aca="false">IF($C83="Whey Protein",1,0)</f>
        <v>0</v>
      </c>
      <c r="L83" s="38" t="n">
        <f aca="false">IF(ISNUMBER(SEARCH("Copo",$C83)),1,0)</f>
        <v>0</v>
      </c>
    </row>
    <row r="84" customFormat="false" ht="15" hidden="false" customHeight="true" outlineLevel="0" collapsed="false">
      <c r="A84" s="29" t="s">
        <v>184</v>
      </c>
      <c r="B84" s="35" t="str">
        <f aca="false">IF($C84="","",IFERROR(INDEX(Insumos_Categoria,MATCH($C84,Insumos_Ingrediente,0)),""))</f>
        <v>Coberturas (30g)</v>
      </c>
      <c r="C84" s="29" t="s">
        <v>101</v>
      </c>
      <c r="D84" s="36" t="n">
        <v>30</v>
      </c>
      <c r="E84" s="35" t="str">
        <f aca="false">IF($C84="","",IFERROR(INDEX(Insumos_Unidade,MATCH($C84,Insumos_Ingrediente,0)),""))</f>
        <v>g</v>
      </c>
      <c r="F84" s="19" t="n">
        <f aca="false">IFERROR(INDEX(Insumos_CustoUnit,MATCH($C84,Insumos_Ingrediente,0)),0)</f>
        <v>0.0165</v>
      </c>
      <c r="G84" s="19" t="n">
        <f aca="false">$D84*$F84</f>
        <v>0.495</v>
      </c>
      <c r="H84" s="37" t="n">
        <f aca="false">IF(OR($E84="g",$E84="ml"),$D84,0)</f>
        <v>30</v>
      </c>
      <c r="I84" s="38" t="n">
        <f aca="false">IF($C84="Açaí",1,0)</f>
        <v>0</v>
      </c>
      <c r="J84" s="38" t="n">
        <f aca="false">IF($C84="Banana",1,0)</f>
        <v>0</v>
      </c>
      <c r="K84" s="38" t="n">
        <f aca="false">IF($C84="Whey Protein",1,0)</f>
        <v>0</v>
      </c>
      <c r="L84" s="38" t="n">
        <f aca="false">IF(ISNUMBER(SEARCH("Copo",$C84)),1,0)</f>
        <v>0</v>
      </c>
    </row>
    <row r="85" customFormat="false" ht="15" hidden="false" customHeight="true" outlineLevel="0" collapsed="false">
      <c r="A85" s="29" t="s">
        <v>184</v>
      </c>
      <c r="B85" s="35" t="str">
        <f aca="false">IF($C85="","",IFERROR(INDEX(Insumos_Categoria,MATCH($C85,Insumos_Ingrediente,0)),""))</f>
        <v>Coberturas (30g)</v>
      </c>
      <c r="C85" s="29" t="s">
        <v>115</v>
      </c>
      <c r="D85" s="36" t="n">
        <v>30</v>
      </c>
      <c r="E85" s="35" t="str">
        <f aca="false">IF($C85="","",IFERROR(INDEX(Insumos_Unidade,MATCH($C85,Insumos_Ingrediente,0)),""))</f>
        <v>g</v>
      </c>
      <c r="F85" s="19" t="n">
        <f aca="false">IFERROR(INDEX(Insumos_CustoUnit,MATCH($C85,Insumos_Ingrediente,0)),0)</f>
        <v>0</v>
      </c>
      <c r="G85" s="19" t="n">
        <f aca="false">$D85*$F85</f>
        <v>0</v>
      </c>
      <c r="H85" s="37" t="n">
        <f aca="false">IF(OR($E85="g",$E85="ml"),$D85,0)</f>
        <v>30</v>
      </c>
      <c r="I85" s="38" t="n">
        <f aca="false">IF($C85="Açaí",1,0)</f>
        <v>0</v>
      </c>
      <c r="J85" s="38" t="n">
        <f aca="false">IF($C85="Banana",1,0)</f>
        <v>0</v>
      </c>
      <c r="K85" s="38" t="n">
        <f aca="false">IF($C85="Whey Protein",1,0)</f>
        <v>0</v>
      </c>
      <c r="L85" s="38" t="n">
        <f aca="false">IF(ISNUMBER(SEARCH("Copo",$C85)),1,0)</f>
        <v>0</v>
      </c>
    </row>
    <row r="86" customFormat="false" ht="15" hidden="false" customHeight="true" outlineLevel="0" collapsed="false">
      <c r="A86" s="29" t="s">
        <v>184</v>
      </c>
      <c r="B86" s="35" t="str">
        <f aca="false">IF($C86="","",IFERROR(INDEX(Insumos_Categoria,MATCH($C86,Insumos_Ingrediente,0)),""))</f>
        <v>Coberturas (30g)</v>
      </c>
      <c r="C86" s="29" t="s">
        <v>96</v>
      </c>
      <c r="D86" s="36" t="n">
        <v>30</v>
      </c>
      <c r="E86" s="35" t="str">
        <f aca="false">IF($C86="","",IFERROR(INDEX(Insumos_Unidade,MATCH($C86,Insumos_Ingrediente,0)),""))</f>
        <v>g</v>
      </c>
      <c r="F86" s="19" t="n">
        <f aca="false">IFERROR(INDEX(Insumos_CustoUnit,MATCH($C86,Insumos_Ingrediente,0)),0)</f>
        <v>0.03355</v>
      </c>
      <c r="G86" s="19" t="n">
        <f aca="false">$D86*$F86</f>
        <v>1.0065</v>
      </c>
      <c r="H86" s="37" t="n">
        <f aca="false">IF(OR($E86="g",$E86="ml"),$D86,0)</f>
        <v>30</v>
      </c>
      <c r="I86" s="38" t="n">
        <f aca="false">IF($C86="Açaí",1,0)</f>
        <v>0</v>
      </c>
      <c r="J86" s="38" t="n">
        <f aca="false">IF($C86="Banana",1,0)</f>
        <v>0</v>
      </c>
      <c r="K86" s="38" t="n">
        <f aca="false">IF($C86="Whey Protein",1,0)</f>
        <v>0</v>
      </c>
      <c r="L86" s="38" t="n">
        <f aca="false">IF(ISNUMBER(SEARCH("Copo",$C86)),1,0)</f>
        <v>0</v>
      </c>
    </row>
    <row r="87" customFormat="false" ht="15" hidden="false" customHeight="true" outlineLevel="0" collapsed="false">
      <c r="A87" s="29" t="s">
        <v>184</v>
      </c>
      <c r="B87" s="35" t="str">
        <f aca="false">IF($C87="","",IFERROR(INDEX(Insumos_Categoria,MATCH($C87,Insumos_Ingrediente,0)),""))</f>
        <v>Coberturas (30g)</v>
      </c>
      <c r="C87" s="29" t="s">
        <v>108</v>
      </c>
      <c r="D87" s="36" t="n">
        <v>30</v>
      </c>
      <c r="E87" s="35" t="str">
        <f aca="false">IF($C87="","",IFERROR(INDEX(Insumos_Unidade,MATCH($C87,Insumos_Ingrediente,0)),""))</f>
        <v>g</v>
      </c>
      <c r="F87" s="19" t="n">
        <f aca="false">IFERROR(INDEX(Insumos_CustoUnit,MATCH($C87,Insumos_Ingrediente,0)),0)</f>
        <v>0.02959</v>
      </c>
      <c r="G87" s="19" t="n">
        <f aca="false">$D87*$F87</f>
        <v>0.8877</v>
      </c>
      <c r="H87" s="37" t="n">
        <f aca="false">IF(OR($E87="g",$E87="ml"),$D87,0)</f>
        <v>30</v>
      </c>
      <c r="I87" s="38" t="n">
        <f aca="false">IF($C87="Açaí",1,0)</f>
        <v>0</v>
      </c>
      <c r="J87" s="38" t="n">
        <f aca="false">IF($C87="Banana",1,0)</f>
        <v>0</v>
      </c>
      <c r="K87" s="38" t="n">
        <f aca="false">IF($C87="Whey Protein",1,0)</f>
        <v>0</v>
      </c>
      <c r="L87" s="38" t="n">
        <f aca="false">IF(ISNUMBER(SEARCH("Copo",$C87)),1,0)</f>
        <v>0</v>
      </c>
    </row>
    <row r="88" customFormat="false" ht="15" hidden="false" customHeight="true" outlineLevel="0" collapsed="false">
      <c r="A88" s="29" t="s">
        <v>184</v>
      </c>
      <c r="B88" s="35" t="str">
        <f aca="false">IF($C88="","",IFERROR(INDEX(Insumos_Categoria,MATCH($C88,Insumos_Ingrediente,0)),""))</f>
        <v>Embalagens</v>
      </c>
      <c r="C88" s="29" t="s">
        <v>120</v>
      </c>
      <c r="D88" s="36" t="n">
        <v>1</v>
      </c>
      <c r="E88" s="35" t="str">
        <f aca="false">IF($C88="","",IFERROR(INDEX(Insumos_Unidade,MATCH($C88,Insumos_Ingrediente,0)),""))</f>
        <v>un</v>
      </c>
      <c r="F88" s="19" t="n">
        <f aca="false">IFERROR(INDEX(Insumos_CustoUnit,MATCH($C88,Insumos_Ingrediente,0)),0)</f>
        <v>0.1668</v>
      </c>
      <c r="G88" s="19" t="n">
        <f aca="false">$D88*$F88</f>
        <v>0.1668</v>
      </c>
      <c r="H88" s="38" t="n">
        <f aca="false">IF(OR($E88="g",$E88="ml"),$D88,0)</f>
        <v>0</v>
      </c>
      <c r="I88" s="38" t="n">
        <f aca="false">IF($C88="Açaí",1,0)</f>
        <v>0</v>
      </c>
      <c r="J88" s="38" t="n">
        <f aca="false">IF($C88="Banana",1,0)</f>
        <v>0</v>
      </c>
      <c r="K88" s="38" t="n">
        <f aca="false">IF($C88="Whey Protein",1,0)</f>
        <v>0</v>
      </c>
      <c r="L88" s="38" t="n">
        <f aca="false">IF(ISNUMBER(SEARCH("Copo",$C88)),1,0)</f>
        <v>1</v>
      </c>
    </row>
    <row r="89" customFormat="false" ht="15" hidden="false" customHeight="true" outlineLevel="0" collapsed="false">
      <c r="A89" s="29" t="s">
        <v>184</v>
      </c>
      <c r="B89" s="35" t="str">
        <f aca="false">IF($C89="","",IFERROR(INDEX(Insumos_Categoria,MATCH($C89,Insumos_Ingrediente,0)),""))</f>
        <v>Embalagens</v>
      </c>
      <c r="C89" s="29" t="s">
        <v>125</v>
      </c>
      <c r="D89" s="36" t="n">
        <v>1</v>
      </c>
      <c r="E89" s="35" t="str">
        <f aca="false">IF($C89="","",IFERROR(INDEX(Insumos_Unidade,MATCH($C89,Insumos_Ingrediente,0)),""))</f>
        <v>un</v>
      </c>
      <c r="F89" s="19" t="n">
        <f aca="false">IFERROR(INDEX(Insumos_CustoUnit,MATCH($C89,Insumos_Ingrediente,0)),0)</f>
        <v>0.0823</v>
      </c>
      <c r="G89" s="19" t="n">
        <f aca="false">$D89*$F89</f>
        <v>0.0823</v>
      </c>
      <c r="H89" s="38" t="n">
        <f aca="false">IF(OR($E89="g",$E89="ml"),$D89,0)</f>
        <v>0</v>
      </c>
      <c r="I89" s="38" t="n">
        <f aca="false">IF($C89="Açaí",1,0)</f>
        <v>0</v>
      </c>
      <c r="J89" s="38" t="n">
        <f aca="false">IF($C89="Banana",1,0)</f>
        <v>0</v>
      </c>
      <c r="K89" s="38" t="n">
        <f aca="false">IF($C89="Whey Protein",1,0)</f>
        <v>0</v>
      </c>
      <c r="L89" s="38" t="n">
        <f aca="false">IF(ISNUMBER(SEARCH("Copo",$C89)),1,0)</f>
        <v>0</v>
      </c>
    </row>
    <row r="90" customFormat="false" ht="15" hidden="false" customHeight="true" outlineLevel="0" collapsed="false">
      <c r="A90" s="29" t="s">
        <v>184</v>
      </c>
      <c r="B90" s="35" t="str">
        <f aca="false">IF($C90="","",IFERROR(INDEX(Insumos_Categoria,MATCH($C90,Insumos_Ingrediente,0)),""))</f>
        <v>Consumíveis</v>
      </c>
      <c r="C90" s="29" t="s">
        <v>141</v>
      </c>
      <c r="D90" s="36" t="n">
        <v>1</v>
      </c>
      <c r="E90" s="35" t="str">
        <f aca="false">IF($C90="","",IFERROR(INDEX(Insumos_Unidade,MATCH($C90,Insumos_Ingrediente,0)),""))</f>
        <v>un</v>
      </c>
      <c r="F90" s="19" t="n">
        <f aca="false">IFERROR(INDEX(Insumos_CustoUnit,MATCH($C90,Insumos_Ingrediente,0)),0)</f>
        <v>0.0938</v>
      </c>
      <c r="G90" s="19" t="n">
        <f aca="false">$D90*$F90</f>
        <v>0.0938</v>
      </c>
      <c r="H90" s="38" t="n">
        <f aca="false">IF(OR($E90="g",$E90="ml"),$D90,0)</f>
        <v>0</v>
      </c>
      <c r="I90" s="38" t="n">
        <f aca="false">IF($C90="Açaí",1,0)</f>
        <v>0</v>
      </c>
      <c r="J90" s="38" t="n">
        <f aca="false">IF($C90="Banana",1,0)</f>
        <v>0</v>
      </c>
      <c r="K90" s="38" t="n">
        <f aca="false">IF($C90="Whey Protein",1,0)</f>
        <v>0</v>
      </c>
      <c r="L90" s="38" t="n">
        <f aca="false">IF(ISNUMBER(SEARCH("Copo",$C90)),1,0)</f>
        <v>0</v>
      </c>
    </row>
    <row r="91" customFormat="false" ht="15" hidden="false" customHeight="true" outlineLevel="0" collapsed="false">
      <c r="A91" s="29" t="s">
        <v>184</v>
      </c>
      <c r="B91" s="35" t="str">
        <f aca="false">IF($C91="","",IFERROR(INDEX(Insumos_Categoria,MATCH($C91,Insumos_Ingrediente,0)),""))</f>
        <v>Consumíveis</v>
      </c>
      <c r="C91" s="29" t="s">
        <v>143</v>
      </c>
      <c r="D91" s="36" t="n">
        <v>1</v>
      </c>
      <c r="E91" s="35" t="str">
        <f aca="false">IF($C91="","",IFERROR(INDEX(Insumos_Unidade,MATCH($C91,Insumos_Ingrediente,0)),""))</f>
        <v>un</v>
      </c>
      <c r="F91" s="19" t="n">
        <f aca="false">IFERROR(INDEX(Insumos_CustoUnit,MATCH($C91,Insumos_Ingrediente,0)),0)</f>
        <v>0</v>
      </c>
      <c r="G91" s="19" t="n">
        <f aca="false">$D91*$F91</f>
        <v>0</v>
      </c>
      <c r="H91" s="38" t="n">
        <f aca="false">IF(OR($E91="g",$E91="ml"),$D91,0)</f>
        <v>0</v>
      </c>
      <c r="I91" s="38" t="n">
        <f aca="false">IF($C91="Açaí",1,0)</f>
        <v>0</v>
      </c>
      <c r="J91" s="38" t="n">
        <f aca="false">IF($C91="Banana",1,0)</f>
        <v>0</v>
      </c>
      <c r="K91" s="38" t="n">
        <f aca="false">IF($C91="Whey Protein",1,0)</f>
        <v>0</v>
      </c>
      <c r="L91" s="38" t="n">
        <f aca="false">IF(ISNUMBER(SEARCH("Copo",$C91)),1,0)</f>
        <v>0</v>
      </c>
    </row>
    <row r="92" customFormat="false" ht="15" hidden="false" customHeight="true" outlineLevel="0" collapsed="false">
      <c r="A92" s="29" t="s">
        <v>185</v>
      </c>
      <c r="B92" s="35" t="str">
        <f aca="false">IF($C92="","",IFERROR(INDEX(Insumos_Categoria,MATCH($C92,Insumos_Ingrediente,0)),""))</f>
        <v>Bases (Produção Própria)</v>
      </c>
      <c r="C92" s="29" t="s">
        <v>88</v>
      </c>
      <c r="D92" s="36" t="n">
        <v>270</v>
      </c>
      <c r="E92" s="35" t="str">
        <f aca="false">IF($C92="","",IFERROR(INDEX(Insumos_Unidade,MATCH($C92,Insumos_Ingrediente,0)),""))</f>
        <v>ml</v>
      </c>
      <c r="F92" s="19" t="n">
        <f aca="false">IFERROR(INDEX(Insumos_CustoUnit,MATCH($C92,Insumos_Ingrediente,0)),0)</f>
        <v>0.0165</v>
      </c>
      <c r="G92" s="19" t="n">
        <f aca="false">$D92*$F92</f>
        <v>4.455</v>
      </c>
      <c r="H92" s="37" t="n">
        <f aca="false">IF(OR($E92="g",$E92="ml"),$D92,0)</f>
        <v>270</v>
      </c>
      <c r="I92" s="38" t="n">
        <f aca="false">IF($C92="Açaí",1,0)</f>
        <v>1</v>
      </c>
      <c r="J92" s="38" t="n">
        <f aca="false">IF($C92="Banana",1,0)</f>
        <v>0</v>
      </c>
      <c r="K92" s="38" t="n">
        <f aca="false">IF($C92="Whey Protein",1,0)</f>
        <v>0</v>
      </c>
      <c r="L92" s="38" t="n">
        <f aca="false">IF(ISNUMBER(SEARCH("Copo",$C92)),1,0)</f>
        <v>0</v>
      </c>
    </row>
    <row r="93" customFormat="false" ht="15" hidden="false" customHeight="true" outlineLevel="0" collapsed="false">
      <c r="A93" s="29" t="s">
        <v>185</v>
      </c>
      <c r="B93" s="35" t="str">
        <f aca="false">IF($C93="","",IFERROR(INDEX(Insumos_Categoria,MATCH($C93,Insumos_Ingrediente,0)),""))</f>
        <v>Coberturas (30g)</v>
      </c>
      <c r="C93" s="29" t="s">
        <v>101</v>
      </c>
      <c r="D93" s="36" t="n">
        <v>30</v>
      </c>
      <c r="E93" s="35" t="str">
        <f aca="false">IF($C93="","",IFERROR(INDEX(Insumos_Unidade,MATCH($C93,Insumos_Ingrediente,0)),""))</f>
        <v>g</v>
      </c>
      <c r="F93" s="19" t="n">
        <f aca="false">IFERROR(INDEX(Insumos_CustoUnit,MATCH($C93,Insumos_Ingrediente,0)),0)</f>
        <v>0.0165</v>
      </c>
      <c r="G93" s="19" t="n">
        <f aca="false">$D93*$F93</f>
        <v>0.495</v>
      </c>
      <c r="H93" s="37" t="n">
        <f aca="false">IF(OR($E93="g",$E93="ml"),$D93,0)</f>
        <v>30</v>
      </c>
      <c r="I93" s="38" t="n">
        <f aca="false">IF($C93="Açaí",1,0)</f>
        <v>0</v>
      </c>
      <c r="J93" s="38" t="n">
        <f aca="false">IF($C93="Banana",1,0)</f>
        <v>0</v>
      </c>
      <c r="K93" s="38" t="n">
        <f aca="false">IF($C93="Whey Protein",1,0)</f>
        <v>0</v>
      </c>
      <c r="L93" s="38" t="n">
        <f aca="false">IF(ISNUMBER(SEARCH("Copo",$C93)),1,0)</f>
        <v>0</v>
      </c>
    </row>
    <row r="94" customFormat="false" ht="15" hidden="false" customHeight="true" outlineLevel="0" collapsed="false">
      <c r="A94" s="29" t="s">
        <v>185</v>
      </c>
      <c r="B94" s="35" t="str">
        <f aca="false">IF($C94="","",IFERROR(INDEX(Insumos_Categoria,MATCH($C94,Insumos_Ingrediente,0)),""))</f>
        <v>Coberturas (30g)</v>
      </c>
      <c r="C94" s="29" t="s">
        <v>115</v>
      </c>
      <c r="D94" s="36" t="n">
        <v>30</v>
      </c>
      <c r="E94" s="35" t="str">
        <f aca="false">IF($C94="","",IFERROR(INDEX(Insumos_Unidade,MATCH($C94,Insumos_Ingrediente,0)),""))</f>
        <v>g</v>
      </c>
      <c r="F94" s="19" t="n">
        <f aca="false">IFERROR(INDEX(Insumos_CustoUnit,MATCH($C94,Insumos_Ingrediente,0)),0)</f>
        <v>0</v>
      </c>
      <c r="G94" s="19" t="n">
        <f aca="false">$D94*$F94</f>
        <v>0</v>
      </c>
      <c r="H94" s="37" t="n">
        <f aca="false">IF(OR($E94="g",$E94="ml"),$D94,0)</f>
        <v>30</v>
      </c>
      <c r="I94" s="38" t="n">
        <f aca="false">IF($C94="Açaí",1,0)</f>
        <v>0</v>
      </c>
      <c r="J94" s="38" t="n">
        <f aca="false">IF($C94="Banana",1,0)</f>
        <v>0</v>
      </c>
      <c r="K94" s="38" t="n">
        <f aca="false">IF($C94="Whey Protein",1,0)</f>
        <v>0</v>
      </c>
      <c r="L94" s="38" t="n">
        <f aca="false">IF(ISNUMBER(SEARCH("Copo",$C94)),1,0)</f>
        <v>0</v>
      </c>
    </row>
    <row r="95" customFormat="false" ht="15" hidden="false" customHeight="true" outlineLevel="0" collapsed="false">
      <c r="A95" s="29" t="s">
        <v>185</v>
      </c>
      <c r="B95" s="35" t="str">
        <f aca="false">IF($C95="","",IFERROR(INDEX(Insumos_Categoria,MATCH($C95,Insumos_Ingrediente,0)),""))</f>
        <v>Coberturas (30g)</v>
      </c>
      <c r="C95" s="29" t="s">
        <v>96</v>
      </c>
      <c r="D95" s="36" t="n">
        <v>30</v>
      </c>
      <c r="E95" s="35" t="str">
        <f aca="false">IF($C95="","",IFERROR(INDEX(Insumos_Unidade,MATCH($C95,Insumos_Ingrediente,0)),""))</f>
        <v>g</v>
      </c>
      <c r="F95" s="19" t="n">
        <f aca="false">IFERROR(INDEX(Insumos_CustoUnit,MATCH($C95,Insumos_Ingrediente,0)),0)</f>
        <v>0.03355</v>
      </c>
      <c r="G95" s="19" t="n">
        <f aca="false">$D95*$F95</f>
        <v>1.0065</v>
      </c>
      <c r="H95" s="37" t="n">
        <f aca="false">IF(OR($E95="g",$E95="ml"),$D95,0)</f>
        <v>30</v>
      </c>
      <c r="I95" s="38" t="n">
        <f aca="false">IF($C95="Açaí",1,0)</f>
        <v>0</v>
      </c>
      <c r="J95" s="38" t="n">
        <f aca="false">IF($C95="Banana",1,0)</f>
        <v>0</v>
      </c>
      <c r="K95" s="38" t="n">
        <f aca="false">IF($C95="Whey Protein",1,0)</f>
        <v>0</v>
      </c>
      <c r="L95" s="38" t="n">
        <f aca="false">IF(ISNUMBER(SEARCH("Copo",$C95)),1,0)</f>
        <v>0</v>
      </c>
    </row>
    <row r="96" customFormat="false" ht="15" hidden="false" customHeight="true" outlineLevel="0" collapsed="false">
      <c r="A96" s="29" t="s">
        <v>185</v>
      </c>
      <c r="B96" s="35" t="str">
        <f aca="false">IF($C96="","",IFERROR(INDEX(Insumos_Categoria,MATCH($C96,Insumos_Ingrediente,0)),""))</f>
        <v>Coberturas (30g)</v>
      </c>
      <c r="C96" s="29" t="s">
        <v>108</v>
      </c>
      <c r="D96" s="36" t="n">
        <v>30</v>
      </c>
      <c r="E96" s="35" t="str">
        <f aca="false">IF($C96="","",IFERROR(INDEX(Insumos_Unidade,MATCH($C96,Insumos_Ingrediente,0)),""))</f>
        <v>g</v>
      </c>
      <c r="F96" s="19" t="n">
        <f aca="false">IFERROR(INDEX(Insumos_CustoUnit,MATCH($C96,Insumos_Ingrediente,0)),0)</f>
        <v>0.02959</v>
      </c>
      <c r="G96" s="19" t="n">
        <f aca="false">$D96*$F96</f>
        <v>0.8877</v>
      </c>
      <c r="H96" s="37" t="n">
        <f aca="false">IF(OR($E96="g",$E96="ml"),$D96,0)</f>
        <v>30</v>
      </c>
      <c r="I96" s="38" t="n">
        <f aca="false">IF($C96="Açaí",1,0)</f>
        <v>0</v>
      </c>
      <c r="J96" s="38" t="n">
        <f aca="false">IF($C96="Banana",1,0)</f>
        <v>0</v>
      </c>
      <c r="K96" s="38" t="n">
        <f aca="false">IF($C96="Whey Protein",1,0)</f>
        <v>0</v>
      </c>
      <c r="L96" s="38" t="n">
        <f aca="false">IF(ISNUMBER(SEARCH("Copo",$C96)),1,0)</f>
        <v>0</v>
      </c>
    </row>
    <row r="97" customFormat="false" ht="15" hidden="false" customHeight="true" outlineLevel="0" collapsed="false">
      <c r="A97" s="29" t="s">
        <v>185</v>
      </c>
      <c r="B97" s="35" t="str">
        <f aca="false">IF($C97="","",IFERROR(INDEX(Insumos_Categoria,MATCH($C97,Insumos_Ingrediente,0)),""))</f>
        <v>Embalagens</v>
      </c>
      <c r="C97" s="29" t="s">
        <v>123</v>
      </c>
      <c r="D97" s="36" t="n">
        <v>1</v>
      </c>
      <c r="E97" s="35" t="str">
        <f aca="false">IF($C97="","",IFERROR(INDEX(Insumos_Unidade,MATCH($C97,Insumos_Ingrediente,0)),""))</f>
        <v>un</v>
      </c>
      <c r="F97" s="19" t="n">
        <f aca="false">IFERROR(INDEX(Insumos_CustoUnit,MATCH($C97,Insumos_Ingrediente,0)),0)</f>
        <v>0.15372</v>
      </c>
      <c r="G97" s="19" t="n">
        <f aca="false">$D97*$F97</f>
        <v>0.15372</v>
      </c>
      <c r="H97" s="38" t="n">
        <f aca="false">IF(OR($E97="g",$E97="ml"),$D97,0)</f>
        <v>0</v>
      </c>
      <c r="I97" s="38" t="n">
        <f aca="false">IF($C97="Açaí",1,0)</f>
        <v>0</v>
      </c>
      <c r="J97" s="38" t="n">
        <f aca="false">IF($C97="Banana",1,0)</f>
        <v>0</v>
      </c>
      <c r="K97" s="38" t="n">
        <f aca="false">IF($C97="Whey Protein",1,0)</f>
        <v>0</v>
      </c>
      <c r="L97" s="38" t="n">
        <f aca="false">IF(ISNUMBER(SEARCH("Copo",$C97)),1,0)</f>
        <v>1</v>
      </c>
    </row>
    <row r="98" customFormat="false" ht="15" hidden="false" customHeight="true" outlineLevel="0" collapsed="false">
      <c r="A98" s="29" t="s">
        <v>185</v>
      </c>
      <c r="B98" s="35" t="str">
        <f aca="false">IF($C98="","",IFERROR(INDEX(Insumos_Categoria,MATCH($C98,Insumos_Ingrediente,0)),""))</f>
        <v>Embalagens</v>
      </c>
      <c r="C98" s="29" t="s">
        <v>126</v>
      </c>
      <c r="D98" s="36" t="n">
        <v>1</v>
      </c>
      <c r="E98" s="35" t="str">
        <f aca="false">IF($C98="","",IFERROR(INDEX(Insumos_Unidade,MATCH($C98,Insumos_Ingrediente,0)),""))</f>
        <v>un</v>
      </c>
      <c r="F98" s="19" t="n">
        <f aca="false">IFERROR(INDEX(Insumos_CustoUnit,MATCH($C98,Insumos_Ingrediente,0)),0)</f>
        <v>0.0823</v>
      </c>
      <c r="G98" s="19" t="n">
        <f aca="false">$D98*$F98</f>
        <v>0.0823</v>
      </c>
      <c r="H98" s="38" t="n">
        <f aca="false">IF(OR($E98="g",$E98="ml"),$D98,0)</f>
        <v>0</v>
      </c>
      <c r="I98" s="38" t="n">
        <f aca="false">IF($C98="Açaí",1,0)</f>
        <v>0</v>
      </c>
      <c r="J98" s="38" t="n">
        <f aca="false">IF($C98="Banana",1,0)</f>
        <v>0</v>
      </c>
      <c r="K98" s="38" t="n">
        <f aca="false">IF($C98="Whey Protein",1,0)</f>
        <v>0</v>
      </c>
      <c r="L98" s="38" t="n">
        <f aca="false">IF(ISNUMBER(SEARCH("Copo",$C98)),1,0)</f>
        <v>0</v>
      </c>
    </row>
    <row r="99" customFormat="false" ht="15" hidden="false" customHeight="true" outlineLevel="0" collapsed="false">
      <c r="A99" s="29" t="s">
        <v>185</v>
      </c>
      <c r="B99" s="35" t="str">
        <f aca="false">IF($C99="","",IFERROR(INDEX(Insumos_Categoria,MATCH($C99,Insumos_Ingrediente,0)),""))</f>
        <v>Consumíveis</v>
      </c>
      <c r="C99" s="29" t="s">
        <v>141</v>
      </c>
      <c r="D99" s="36" t="n">
        <v>1</v>
      </c>
      <c r="E99" s="35" t="str">
        <f aca="false">IF($C99="","",IFERROR(INDEX(Insumos_Unidade,MATCH($C99,Insumos_Ingrediente,0)),""))</f>
        <v>un</v>
      </c>
      <c r="F99" s="19" t="n">
        <f aca="false">IFERROR(INDEX(Insumos_CustoUnit,MATCH($C99,Insumos_Ingrediente,0)),0)</f>
        <v>0.0938</v>
      </c>
      <c r="G99" s="19" t="n">
        <f aca="false">$D99*$F99</f>
        <v>0.0938</v>
      </c>
      <c r="H99" s="38" t="n">
        <f aca="false">IF(OR($E99="g",$E99="ml"),$D99,0)</f>
        <v>0</v>
      </c>
      <c r="I99" s="38" t="n">
        <f aca="false">IF($C99="Açaí",1,0)</f>
        <v>0</v>
      </c>
      <c r="J99" s="38" t="n">
        <f aca="false">IF($C99="Banana",1,0)</f>
        <v>0</v>
      </c>
      <c r="K99" s="38" t="n">
        <f aca="false">IF($C99="Whey Protein",1,0)</f>
        <v>0</v>
      </c>
      <c r="L99" s="38" t="n">
        <f aca="false">IF(ISNUMBER(SEARCH("Copo",$C99)),1,0)</f>
        <v>0</v>
      </c>
    </row>
    <row r="100" customFormat="false" ht="15" hidden="false" customHeight="true" outlineLevel="0" collapsed="false">
      <c r="A100" s="29" t="s">
        <v>185</v>
      </c>
      <c r="B100" s="35" t="str">
        <f aca="false">IF($C100="","",IFERROR(INDEX(Insumos_Categoria,MATCH($C100,Insumos_Ingrediente,0)),""))</f>
        <v>Consumíveis</v>
      </c>
      <c r="C100" s="29" t="s">
        <v>143</v>
      </c>
      <c r="D100" s="36" t="n">
        <v>1</v>
      </c>
      <c r="E100" s="35" t="str">
        <f aca="false">IF($C100="","",IFERROR(INDEX(Insumos_Unidade,MATCH($C100,Insumos_Ingrediente,0)),""))</f>
        <v>un</v>
      </c>
      <c r="F100" s="19" t="n">
        <f aca="false">IFERROR(INDEX(Insumos_CustoUnit,MATCH($C100,Insumos_Ingrediente,0)),0)</f>
        <v>0</v>
      </c>
      <c r="G100" s="19" t="n">
        <f aca="false">$D100*$F100</f>
        <v>0</v>
      </c>
      <c r="H100" s="38" t="n">
        <f aca="false">IF(OR($E100="g",$E100="ml"),$D100,0)</f>
        <v>0</v>
      </c>
      <c r="I100" s="38" t="n">
        <f aca="false">IF($C100="Açaí",1,0)</f>
        <v>0</v>
      </c>
      <c r="J100" s="38" t="n">
        <f aca="false">IF($C100="Banana",1,0)</f>
        <v>0</v>
      </c>
      <c r="K100" s="38" t="n">
        <f aca="false">IF($C100="Whey Protein",1,0)</f>
        <v>0</v>
      </c>
      <c r="L100" s="38" t="n">
        <f aca="false">IF(ISNUMBER(SEARCH("Copo",$C100)),1,0)</f>
        <v>0</v>
      </c>
    </row>
    <row r="101" customFormat="false" ht="15" hidden="false" customHeight="true" outlineLevel="0" collapsed="false">
      <c r="A101" s="29" t="s">
        <v>186</v>
      </c>
      <c r="B101" s="35" t="str">
        <f aca="false">IF($C101="","",IFERROR(INDEX(Insumos_Categoria,MATCH($C101,Insumos_Ingrediente,0)),""))</f>
        <v>Bases (Produção Própria)</v>
      </c>
      <c r="C101" s="29" t="s">
        <v>88</v>
      </c>
      <c r="D101" s="36" t="n">
        <v>470</v>
      </c>
      <c r="E101" s="35" t="str">
        <f aca="false">IF($C101="","",IFERROR(INDEX(Insumos_Unidade,MATCH($C101,Insumos_Ingrediente,0)),""))</f>
        <v>ml</v>
      </c>
      <c r="F101" s="19" t="n">
        <f aca="false">IFERROR(INDEX(Insumos_CustoUnit,MATCH($C101,Insumos_Ingrediente,0)),0)</f>
        <v>0.0165</v>
      </c>
      <c r="G101" s="19" t="n">
        <f aca="false">$D101*$F101</f>
        <v>7.755</v>
      </c>
      <c r="H101" s="37" t="n">
        <f aca="false">IF(OR($E101="g",$E101="ml"),$D101,0)</f>
        <v>470</v>
      </c>
      <c r="I101" s="38" t="n">
        <f aca="false">IF($C101="Açaí",1,0)</f>
        <v>1</v>
      </c>
      <c r="J101" s="38" t="n">
        <f aca="false">IF($C101="Banana",1,0)</f>
        <v>0</v>
      </c>
      <c r="K101" s="38" t="n">
        <f aca="false">IF($C101="Whey Protein",1,0)</f>
        <v>0</v>
      </c>
      <c r="L101" s="38" t="n">
        <f aca="false">IF(ISNUMBER(SEARCH("Copo",$C101)),1,0)</f>
        <v>0</v>
      </c>
    </row>
    <row r="102" customFormat="false" ht="15" hidden="false" customHeight="true" outlineLevel="0" collapsed="false">
      <c r="A102" s="29" t="s">
        <v>186</v>
      </c>
      <c r="B102" s="35" t="str">
        <f aca="false">IF($C102="","",IFERROR(INDEX(Insumos_Categoria,MATCH($C102,Insumos_Ingrediente,0)),""))</f>
        <v>Coberturas (30g)</v>
      </c>
      <c r="C102" s="29" t="s">
        <v>101</v>
      </c>
      <c r="D102" s="36" t="n">
        <v>30</v>
      </c>
      <c r="E102" s="35" t="str">
        <f aca="false">IF($C102="","",IFERROR(INDEX(Insumos_Unidade,MATCH($C102,Insumos_Ingrediente,0)),""))</f>
        <v>g</v>
      </c>
      <c r="F102" s="19" t="n">
        <f aca="false">IFERROR(INDEX(Insumos_CustoUnit,MATCH($C102,Insumos_Ingrediente,0)),0)</f>
        <v>0.0165</v>
      </c>
      <c r="G102" s="19" t="n">
        <f aca="false">$D102*$F102</f>
        <v>0.495</v>
      </c>
      <c r="H102" s="37" t="n">
        <f aca="false">IF(OR($E102="g",$E102="ml"),$D102,0)</f>
        <v>30</v>
      </c>
      <c r="I102" s="38" t="n">
        <f aca="false">IF($C102="Açaí",1,0)</f>
        <v>0</v>
      </c>
      <c r="J102" s="38" t="n">
        <f aca="false">IF($C102="Banana",1,0)</f>
        <v>0</v>
      </c>
      <c r="K102" s="38" t="n">
        <f aca="false">IF($C102="Whey Protein",1,0)</f>
        <v>0</v>
      </c>
      <c r="L102" s="38" t="n">
        <f aca="false">IF(ISNUMBER(SEARCH("Copo",$C102)),1,0)</f>
        <v>0</v>
      </c>
    </row>
    <row r="103" customFormat="false" ht="15" hidden="false" customHeight="true" outlineLevel="0" collapsed="false">
      <c r="A103" s="29" t="s">
        <v>186</v>
      </c>
      <c r="B103" s="35" t="str">
        <f aca="false">IF($C103="","",IFERROR(INDEX(Insumos_Categoria,MATCH($C103,Insumos_Ingrediente,0)),""))</f>
        <v>Coberturas (30g)</v>
      </c>
      <c r="C103" s="29" t="s">
        <v>115</v>
      </c>
      <c r="D103" s="36" t="n">
        <v>30</v>
      </c>
      <c r="E103" s="35" t="str">
        <f aca="false">IF($C103="","",IFERROR(INDEX(Insumos_Unidade,MATCH($C103,Insumos_Ingrediente,0)),""))</f>
        <v>g</v>
      </c>
      <c r="F103" s="19" t="n">
        <f aca="false">IFERROR(INDEX(Insumos_CustoUnit,MATCH($C103,Insumos_Ingrediente,0)),0)</f>
        <v>0</v>
      </c>
      <c r="G103" s="19" t="n">
        <f aca="false">$D103*$F103</f>
        <v>0</v>
      </c>
      <c r="H103" s="37" t="n">
        <f aca="false">IF(OR($E103="g",$E103="ml"),$D103,0)</f>
        <v>30</v>
      </c>
      <c r="I103" s="38" t="n">
        <f aca="false">IF($C103="Açaí",1,0)</f>
        <v>0</v>
      </c>
      <c r="J103" s="38" t="n">
        <f aca="false">IF($C103="Banana",1,0)</f>
        <v>0</v>
      </c>
      <c r="K103" s="38" t="n">
        <f aca="false">IF($C103="Whey Protein",1,0)</f>
        <v>0</v>
      </c>
      <c r="L103" s="38" t="n">
        <f aca="false">IF(ISNUMBER(SEARCH("Copo",$C103)),1,0)</f>
        <v>0</v>
      </c>
    </row>
    <row r="104" customFormat="false" ht="15" hidden="false" customHeight="true" outlineLevel="0" collapsed="false">
      <c r="A104" s="29" t="s">
        <v>186</v>
      </c>
      <c r="B104" s="35" t="str">
        <f aca="false">IF($C104="","",IFERROR(INDEX(Insumos_Categoria,MATCH($C104,Insumos_Ingrediente,0)),""))</f>
        <v>Coberturas (30g)</v>
      </c>
      <c r="C104" s="29" t="s">
        <v>96</v>
      </c>
      <c r="D104" s="36" t="n">
        <v>30</v>
      </c>
      <c r="E104" s="35" t="str">
        <f aca="false">IF($C104="","",IFERROR(INDEX(Insumos_Unidade,MATCH($C104,Insumos_Ingrediente,0)),""))</f>
        <v>g</v>
      </c>
      <c r="F104" s="19" t="n">
        <f aca="false">IFERROR(INDEX(Insumos_CustoUnit,MATCH($C104,Insumos_Ingrediente,0)),0)</f>
        <v>0.03355</v>
      </c>
      <c r="G104" s="19" t="n">
        <f aca="false">$D104*$F104</f>
        <v>1.0065</v>
      </c>
      <c r="H104" s="37" t="n">
        <f aca="false">IF(OR($E104="g",$E104="ml"),$D104,0)</f>
        <v>30</v>
      </c>
      <c r="I104" s="38" t="n">
        <f aca="false">IF($C104="Açaí",1,0)</f>
        <v>0</v>
      </c>
      <c r="J104" s="38" t="n">
        <f aca="false">IF($C104="Banana",1,0)</f>
        <v>0</v>
      </c>
      <c r="K104" s="38" t="n">
        <f aca="false">IF($C104="Whey Protein",1,0)</f>
        <v>0</v>
      </c>
      <c r="L104" s="38" t="n">
        <f aca="false">IF(ISNUMBER(SEARCH("Copo",$C104)),1,0)</f>
        <v>0</v>
      </c>
    </row>
    <row r="105" customFormat="false" ht="15" hidden="false" customHeight="true" outlineLevel="0" collapsed="false">
      <c r="A105" s="29" t="s">
        <v>186</v>
      </c>
      <c r="B105" s="35" t="str">
        <f aca="false">IF($C105="","",IFERROR(INDEX(Insumos_Categoria,MATCH($C105,Insumos_Ingrediente,0)),""))</f>
        <v>Coberturas (30g)</v>
      </c>
      <c r="C105" s="29" t="s">
        <v>108</v>
      </c>
      <c r="D105" s="36" t="n">
        <v>30</v>
      </c>
      <c r="E105" s="35" t="str">
        <f aca="false">IF($C105="","",IFERROR(INDEX(Insumos_Unidade,MATCH($C105,Insumos_Ingrediente,0)),""))</f>
        <v>g</v>
      </c>
      <c r="F105" s="19" t="n">
        <f aca="false">IFERROR(INDEX(Insumos_CustoUnit,MATCH($C105,Insumos_Ingrediente,0)),0)</f>
        <v>0.02959</v>
      </c>
      <c r="G105" s="19" t="n">
        <f aca="false">$D105*$F105</f>
        <v>0.8877</v>
      </c>
      <c r="H105" s="37" t="n">
        <f aca="false">IF(OR($E105="g",$E105="ml"),$D105,0)</f>
        <v>30</v>
      </c>
      <c r="I105" s="38" t="n">
        <f aca="false">IF($C105="Açaí",1,0)</f>
        <v>0</v>
      </c>
      <c r="J105" s="38" t="n">
        <f aca="false">IF($C105="Banana",1,0)</f>
        <v>0</v>
      </c>
      <c r="K105" s="38" t="n">
        <f aca="false">IF($C105="Whey Protein",1,0)</f>
        <v>0</v>
      </c>
      <c r="L105" s="38" t="n">
        <f aca="false">IF(ISNUMBER(SEARCH("Copo",$C105)),1,0)</f>
        <v>0</v>
      </c>
    </row>
    <row r="106" customFormat="false" ht="15" hidden="false" customHeight="true" outlineLevel="0" collapsed="false">
      <c r="A106" s="29" t="s">
        <v>186</v>
      </c>
      <c r="B106" s="35" t="str">
        <f aca="false">IF($C106="","",IFERROR(INDEX(Insumos_Categoria,MATCH($C106,Insumos_Ingrediente,0)),""))</f>
        <v>Embalagens</v>
      </c>
      <c r="C106" s="29" t="s">
        <v>124</v>
      </c>
      <c r="D106" s="36" t="n">
        <v>1</v>
      </c>
      <c r="E106" s="35" t="str">
        <f aca="false">IF($C106="","",IFERROR(INDEX(Insumos_Unidade,MATCH($C106,Insumos_Ingrediente,0)),""))</f>
        <v>un</v>
      </c>
      <c r="F106" s="19" t="n">
        <f aca="false">IFERROR(INDEX(Insumos_CustoUnit,MATCH($C106,Insumos_Ingrediente,0)),0)</f>
        <v>0.24365</v>
      </c>
      <c r="G106" s="19" t="n">
        <f aca="false">$D106*$F106</f>
        <v>0.24365</v>
      </c>
      <c r="H106" s="38" t="n">
        <f aca="false">IF(OR($E106="g",$E106="ml"),$D106,0)</f>
        <v>0</v>
      </c>
      <c r="I106" s="38" t="n">
        <f aca="false">IF($C106="Açaí",1,0)</f>
        <v>0</v>
      </c>
      <c r="J106" s="38" t="n">
        <f aca="false">IF($C106="Banana",1,0)</f>
        <v>0</v>
      </c>
      <c r="K106" s="38" t="n">
        <f aca="false">IF($C106="Whey Protein",1,0)</f>
        <v>0</v>
      </c>
      <c r="L106" s="38" t="n">
        <f aca="false">IF(ISNUMBER(SEARCH("Copo",$C106)),1,0)</f>
        <v>1</v>
      </c>
    </row>
    <row r="107" customFormat="false" ht="15" hidden="false" customHeight="true" outlineLevel="0" collapsed="false">
      <c r="A107" s="29" t="s">
        <v>186</v>
      </c>
      <c r="B107" s="35" t="str">
        <f aca="false">IF($C107="","",IFERROR(INDEX(Insumos_Categoria,MATCH($C107,Insumos_Ingrediente,0)),""))</f>
        <v>Embalagens</v>
      </c>
      <c r="C107" s="29" t="s">
        <v>127</v>
      </c>
      <c r="D107" s="36" t="n">
        <v>1</v>
      </c>
      <c r="E107" s="35" t="str">
        <f aca="false">IF($C107="","",IFERROR(INDEX(Insumos_Unidade,MATCH($C107,Insumos_Ingrediente,0)),""))</f>
        <v>un</v>
      </c>
      <c r="F107" s="19" t="n">
        <f aca="false">IFERROR(INDEX(Insumos_CustoUnit,MATCH($C107,Insumos_Ingrediente,0)),0)</f>
        <v>0.0923</v>
      </c>
      <c r="G107" s="19" t="n">
        <f aca="false">$D107*$F107</f>
        <v>0.0923</v>
      </c>
      <c r="H107" s="38" t="n">
        <f aca="false">IF(OR($E107="g",$E107="ml"),$D107,0)</f>
        <v>0</v>
      </c>
      <c r="I107" s="38" t="n">
        <f aca="false">IF($C107="Açaí",1,0)</f>
        <v>0</v>
      </c>
      <c r="J107" s="38" t="n">
        <f aca="false">IF($C107="Banana",1,0)</f>
        <v>0</v>
      </c>
      <c r="K107" s="38" t="n">
        <f aca="false">IF($C107="Whey Protein",1,0)</f>
        <v>0</v>
      </c>
      <c r="L107" s="38" t="n">
        <f aca="false">IF(ISNUMBER(SEARCH("Copo",$C107)),1,0)</f>
        <v>0</v>
      </c>
    </row>
    <row r="108" customFormat="false" ht="15" hidden="false" customHeight="true" outlineLevel="0" collapsed="false">
      <c r="A108" s="29" t="s">
        <v>186</v>
      </c>
      <c r="B108" s="35" t="str">
        <f aca="false">IF($C108="","",IFERROR(INDEX(Insumos_Categoria,MATCH($C108,Insumos_Ingrediente,0)),""))</f>
        <v>Consumíveis</v>
      </c>
      <c r="C108" s="29" t="s">
        <v>141</v>
      </c>
      <c r="D108" s="36" t="n">
        <v>1</v>
      </c>
      <c r="E108" s="35" t="str">
        <f aca="false">IF($C108="","",IFERROR(INDEX(Insumos_Unidade,MATCH($C108,Insumos_Ingrediente,0)),""))</f>
        <v>un</v>
      </c>
      <c r="F108" s="19" t="n">
        <f aca="false">IFERROR(INDEX(Insumos_CustoUnit,MATCH($C108,Insumos_Ingrediente,0)),0)</f>
        <v>0.0938</v>
      </c>
      <c r="G108" s="19" t="n">
        <f aca="false">$D108*$F108</f>
        <v>0.0938</v>
      </c>
      <c r="H108" s="38" t="n">
        <f aca="false">IF(OR($E108="g",$E108="ml"),$D108,0)</f>
        <v>0</v>
      </c>
      <c r="I108" s="38" t="n">
        <f aca="false">IF($C108="Açaí",1,0)</f>
        <v>0</v>
      </c>
      <c r="J108" s="38" t="n">
        <f aca="false">IF($C108="Banana",1,0)</f>
        <v>0</v>
      </c>
      <c r="K108" s="38" t="n">
        <f aca="false">IF($C108="Whey Protein",1,0)</f>
        <v>0</v>
      </c>
      <c r="L108" s="38" t="n">
        <f aca="false">IF(ISNUMBER(SEARCH("Copo",$C108)),1,0)</f>
        <v>0</v>
      </c>
    </row>
    <row r="109" customFormat="false" ht="15" hidden="false" customHeight="true" outlineLevel="0" collapsed="false">
      <c r="A109" s="29" t="s">
        <v>186</v>
      </c>
      <c r="B109" s="35" t="str">
        <f aca="false">IF($C109="","",IFERROR(INDEX(Insumos_Categoria,MATCH($C109,Insumos_Ingrediente,0)),""))</f>
        <v>Consumíveis</v>
      </c>
      <c r="C109" s="29" t="s">
        <v>143</v>
      </c>
      <c r="D109" s="36" t="n">
        <v>1</v>
      </c>
      <c r="E109" s="35" t="str">
        <f aca="false">IF($C109="","",IFERROR(INDEX(Insumos_Unidade,MATCH($C109,Insumos_Ingrediente,0)),""))</f>
        <v>un</v>
      </c>
      <c r="F109" s="19" t="n">
        <f aca="false">IFERROR(INDEX(Insumos_CustoUnit,MATCH($C109,Insumos_Ingrediente,0)),0)</f>
        <v>0</v>
      </c>
      <c r="G109" s="19" t="n">
        <f aca="false">$D109*$F109</f>
        <v>0</v>
      </c>
      <c r="H109" s="38" t="n">
        <f aca="false">IF(OR($E109="g",$E109="ml"),$D109,0)</f>
        <v>0</v>
      </c>
      <c r="I109" s="38" t="n">
        <f aca="false">IF($C109="Açaí",1,0)</f>
        <v>0</v>
      </c>
      <c r="J109" s="38" t="n">
        <f aca="false">IF($C109="Banana",1,0)</f>
        <v>0</v>
      </c>
      <c r="K109" s="38" t="n">
        <f aca="false">IF($C109="Whey Protein",1,0)</f>
        <v>0</v>
      </c>
      <c r="L109" s="38" t="n">
        <f aca="false">IF(ISNUMBER(SEARCH("Copo",$C109)),1,0)</f>
        <v>0</v>
      </c>
    </row>
    <row r="110" customFormat="false" ht="15" hidden="false" customHeight="true" outlineLevel="0" collapsed="false">
      <c r="A110" s="29" t="s">
        <v>187</v>
      </c>
      <c r="B110" s="35" t="str">
        <f aca="false">IF($C110="","",IFERROR(INDEX(Insumos_Categoria,MATCH($C110,Insumos_Ingrediente,0)),""))</f>
        <v>Bases (Produção Própria)</v>
      </c>
      <c r="C110" s="29" t="s">
        <v>88</v>
      </c>
      <c r="D110" s="36" t="n">
        <v>170</v>
      </c>
      <c r="E110" s="35" t="str">
        <f aca="false">IF($C110="","",IFERROR(INDEX(Insumos_Unidade,MATCH($C110,Insumos_Ingrediente,0)),""))</f>
        <v>ml</v>
      </c>
      <c r="F110" s="19" t="n">
        <f aca="false">IFERROR(INDEX(Insumos_CustoUnit,MATCH($C110,Insumos_Ingrediente,0)),0)</f>
        <v>0.0165</v>
      </c>
      <c r="G110" s="19" t="n">
        <f aca="false">$D110*$F110</f>
        <v>2.805</v>
      </c>
      <c r="H110" s="37" t="n">
        <f aca="false">IF(OR($E110="g",$E110="ml"),$D110,0)</f>
        <v>170</v>
      </c>
      <c r="I110" s="38" t="n">
        <f aca="false">IF($C110="Açaí",1,0)</f>
        <v>1</v>
      </c>
      <c r="J110" s="38" t="n">
        <f aca="false">IF($C110="Banana",1,0)</f>
        <v>0</v>
      </c>
      <c r="K110" s="38" t="n">
        <f aca="false">IF($C110="Whey Protein",1,0)</f>
        <v>0</v>
      </c>
      <c r="L110" s="38" t="n">
        <f aca="false">IF(ISNUMBER(SEARCH("Copo",$C110)),1,0)</f>
        <v>0</v>
      </c>
    </row>
    <row r="111" customFormat="false" ht="15" hidden="false" customHeight="true" outlineLevel="0" collapsed="false">
      <c r="A111" s="29" t="s">
        <v>187</v>
      </c>
      <c r="B111" s="35" t="str">
        <f aca="false">IF($C111="","",IFERROR(INDEX(Insumos_Categoria,MATCH($C111,Insumos_Ingrediente,0)),""))</f>
        <v>Coberturas (30g)</v>
      </c>
      <c r="C111" s="29" t="s">
        <v>100</v>
      </c>
      <c r="D111" s="36" t="n">
        <v>30</v>
      </c>
      <c r="E111" s="35" t="str">
        <f aca="false">IF($C111="","",IFERROR(INDEX(Insumos_Unidade,MATCH($C111,Insumos_Ingrediente,0)),""))</f>
        <v>g</v>
      </c>
      <c r="F111" s="19" t="n">
        <f aca="false">IFERROR(INDEX(Insumos_CustoUnit,MATCH($C111,Insumos_Ingrediente,0)),0)</f>
        <v>0.00230769230769231</v>
      </c>
      <c r="G111" s="19" t="n">
        <f aca="false">$D111*$F111</f>
        <v>0.0692307692307692</v>
      </c>
      <c r="H111" s="37" t="n">
        <f aca="false">IF(OR($E111="g",$E111="ml"),$D111,0)</f>
        <v>30</v>
      </c>
      <c r="I111" s="38" t="n">
        <f aca="false">IF($C111="Açaí",1,0)</f>
        <v>0</v>
      </c>
      <c r="J111" s="38" t="n">
        <f aca="false">IF($C111="Banana",1,0)</f>
        <v>1</v>
      </c>
      <c r="K111" s="38" t="n">
        <f aca="false">IF($C111="Whey Protein",1,0)</f>
        <v>0</v>
      </c>
      <c r="L111" s="38" t="n">
        <f aca="false">IF(ISNUMBER(SEARCH("Copo",$C111)),1,0)</f>
        <v>0</v>
      </c>
    </row>
    <row r="112" customFormat="false" ht="15" hidden="false" customHeight="true" outlineLevel="0" collapsed="false">
      <c r="A112" s="29" t="s">
        <v>187</v>
      </c>
      <c r="B112" s="35" t="str">
        <f aca="false">IF($C112="","",IFERROR(INDEX(Insumos_Categoria,MATCH($C112,Insumos_Ingrediente,0)),""))</f>
        <v>Coberturas (30g)</v>
      </c>
      <c r="C112" s="29" t="s">
        <v>102</v>
      </c>
      <c r="D112" s="36" t="n">
        <v>30</v>
      </c>
      <c r="E112" s="35" t="str">
        <f aca="false">IF($C112="","",IFERROR(INDEX(Insumos_Unidade,MATCH($C112,Insumos_Ingrediente,0)),""))</f>
        <v>g</v>
      </c>
      <c r="F112" s="19" t="n">
        <f aca="false">IFERROR(INDEX(Insumos_CustoUnit,MATCH($C112,Insumos_Ingrediente,0)),0)</f>
        <v>0.02</v>
      </c>
      <c r="G112" s="19" t="n">
        <f aca="false">$D112*$F112</f>
        <v>0.6</v>
      </c>
      <c r="H112" s="37" t="n">
        <f aca="false">IF(OR($E112="g",$E112="ml"),$D112,0)</f>
        <v>30</v>
      </c>
      <c r="I112" s="38" t="n">
        <f aca="false">IF($C112="Açaí",1,0)</f>
        <v>0</v>
      </c>
      <c r="J112" s="38" t="n">
        <f aca="false">IF($C112="Banana",1,0)</f>
        <v>0</v>
      </c>
      <c r="K112" s="38" t="n">
        <f aca="false">IF($C112="Whey Protein",1,0)</f>
        <v>0</v>
      </c>
      <c r="L112" s="38" t="n">
        <f aca="false">IF(ISNUMBER(SEARCH("Copo",$C112)),1,0)</f>
        <v>0</v>
      </c>
    </row>
    <row r="113" customFormat="false" ht="15" hidden="false" customHeight="true" outlineLevel="0" collapsed="false">
      <c r="A113" s="29" t="s">
        <v>187</v>
      </c>
      <c r="B113" s="35" t="str">
        <f aca="false">IF($C113="","",IFERROR(INDEX(Insumos_Categoria,MATCH($C113,Insumos_Ingrediente,0)),""))</f>
        <v>Coberturas (30g)</v>
      </c>
      <c r="C113" s="29" t="s">
        <v>113</v>
      </c>
      <c r="D113" s="36" t="n">
        <v>30</v>
      </c>
      <c r="E113" s="35" t="str">
        <f aca="false">IF($C113="","",IFERROR(INDEX(Insumos_Unidade,MATCH($C113,Insumos_Ingrediente,0)),""))</f>
        <v>ml</v>
      </c>
      <c r="F113" s="19" t="n">
        <f aca="false">IFERROR(INDEX(Insumos_CustoUnit,MATCH($C113,Insumos_Ingrediente,0)),0)</f>
        <v>0</v>
      </c>
      <c r="G113" s="19" t="n">
        <f aca="false">$D113*$F113</f>
        <v>0</v>
      </c>
      <c r="H113" s="37" t="n">
        <f aca="false">IF(OR($E113="g",$E113="ml"),$D113,0)</f>
        <v>30</v>
      </c>
      <c r="I113" s="38" t="n">
        <f aca="false">IF($C113="Açaí",1,0)</f>
        <v>0</v>
      </c>
      <c r="J113" s="38" t="n">
        <f aca="false">IF($C113="Banana",1,0)</f>
        <v>0</v>
      </c>
      <c r="K113" s="38" t="n">
        <f aca="false">IF($C113="Whey Protein",1,0)</f>
        <v>0</v>
      </c>
      <c r="L113" s="38" t="n">
        <f aca="false">IF(ISNUMBER(SEARCH("Copo",$C113)),1,0)</f>
        <v>0</v>
      </c>
    </row>
    <row r="114" customFormat="false" ht="15" hidden="false" customHeight="true" outlineLevel="0" collapsed="false">
      <c r="A114" s="29" t="s">
        <v>187</v>
      </c>
      <c r="B114" s="35" t="str">
        <f aca="false">IF($C114="","",IFERROR(INDEX(Insumos_Categoria,MATCH($C114,Insumos_Ingrediente,0)),""))</f>
        <v>Embalagens</v>
      </c>
      <c r="C114" s="29" t="s">
        <v>120</v>
      </c>
      <c r="D114" s="36" t="n">
        <v>1</v>
      </c>
      <c r="E114" s="35" t="str">
        <f aca="false">IF($C114="","",IFERROR(INDEX(Insumos_Unidade,MATCH($C114,Insumos_Ingrediente,0)),""))</f>
        <v>un</v>
      </c>
      <c r="F114" s="19" t="n">
        <f aca="false">IFERROR(INDEX(Insumos_CustoUnit,MATCH($C114,Insumos_Ingrediente,0)),0)</f>
        <v>0.1668</v>
      </c>
      <c r="G114" s="19" t="n">
        <f aca="false">$D114*$F114</f>
        <v>0.1668</v>
      </c>
      <c r="H114" s="38" t="n">
        <f aca="false">IF(OR($E114="g",$E114="ml"),$D114,0)</f>
        <v>0</v>
      </c>
      <c r="I114" s="38" t="n">
        <f aca="false">IF($C114="Açaí",1,0)</f>
        <v>0</v>
      </c>
      <c r="J114" s="38" t="n">
        <f aca="false">IF($C114="Banana",1,0)</f>
        <v>0</v>
      </c>
      <c r="K114" s="38" t="n">
        <f aca="false">IF($C114="Whey Protein",1,0)</f>
        <v>0</v>
      </c>
      <c r="L114" s="38" t="n">
        <f aca="false">IF(ISNUMBER(SEARCH("Copo",$C114)),1,0)</f>
        <v>1</v>
      </c>
    </row>
    <row r="115" customFormat="false" ht="15" hidden="false" customHeight="true" outlineLevel="0" collapsed="false">
      <c r="A115" s="29" t="s">
        <v>187</v>
      </c>
      <c r="B115" s="35" t="str">
        <f aca="false">IF($C115="","",IFERROR(INDEX(Insumos_Categoria,MATCH($C115,Insumos_Ingrediente,0)),""))</f>
        <v>Embalagens</v>
      </c>
      <c r="C115" s="29" t="s">
        <v>125</v>
      </c>
      <c r="D115" s="36" t="n">
        <v>1</v>
      </c>
      <c r="E115" s="35" t="str">
        <f aca="false">IF($C115="","",IFERROR(INDEX(Insumos_Unidade,MATCH($C115,Insumos_Ingrediente,0)),""))</f>
        <v>un</v>
      </c>
      <c r="F115" s="19" t="n">
        <f aca="false">IFERROR(INDEX(Insumos_CustoUnit,MATCH($C115,Insumos_Ingrediente,0)),0)</f>
        <v>0.0823</v>
      </c>
      <c r="G115" s="19" t="n">
        <f aca="false">$D115*$F115</f>
        <v>0.0823</v>
      </c>
      <c r="H115" s="38" t="n">
        <f aca="false">IF(OR($E115="g",$E115="ml"),$D115,0)</f>
        <v>0</v>
      </c>
      <c r="I115" s="38" t="n">
        <f aca="false">IF($C115="Açaí",1,0)</f>
        <v>0</v>
      </c>
      <c r="J115" s="38" t="n">
        <f aca="false">IF($C115="Banana",1,0)</f>
        <v>0</v>
      </c>
      <c r="K115" s="38" t="n">
        <f aca="false">IF($C115="Whey Protein",1,0)</f>
        <v>0</v>
      </c>
      <c r="L115" s="38" t="n">
        <f aca="false">IF(ISNUMBER(SEARCH("Copo",$C115)),1,0)</f>
        <v>0</v>
      </c>
    </row>
    <row r="116" customFormat="false" ht="15" hidden="false" customHeight="true" outlineLevel="0" collapsed="false">
      <c r="A116" s="29" t="s">
        <v>187</v>
      </c>
      <c r="B116" s="35" t="str">
        <f aca="false">IF($C116="","",IFERROR(INDEX(Insumos_Categoria,MATCH($C116,Insumos_Ingrediente,0)),""))</f>
        <v>Consumíveis</v>
      </c>
      <c r="C116" s="29" t="s">
        <v>141</v>
      </c>
      <c r="D116" s="36" t="n">
        <v>1</v>
      </c>
      <c r="E116" s="35" t="str">
        <f aca="false">IF($C116="","",IFERROR(INDEX(Insumos_Unidade,MATCH($C116,Insumos_Ingrediente,0)),""))</f>
        <v>un</v>
      </c>
      <c r="F116" s="19" t="n">
        <f aca="false">IFERROR(INDEX(Insumos_CustoUnit,MATCH($C116,Insumos_Ingrediente,0)),0)</f>
        <v>0.0938</v>
      </c>
      <c r="G116" s="19" t="n">
        <f aca="false">$D116*$F116</f>
        <v>0.0938</v>
      </c>
      <c r="H116" s="38" t="n">
        <f aca="false">IF(OR($E116="g",$E116="ml"),$D116,0)</f>
        <v>0</v>
      </c>
      <c r="I116" s="38" t="n">
        <f aca="false">IF($C116="Açaí",1,0)</f>
        <v>0</v>
      </c>
      <c r="J116" s="38" t="n">
        <f aca="false">IF($C116="Banana",1,0)</f>
        <v>0</v>
      </c>
      <c r="K116" s="38" t="n">
        <f aca="false">IF($C116="Whey Protein",1,0)</f>
        <v>0</v>
      </c>
      <c r="L116" s="38" t="n">
        <f aca="false">IF(ISNUMBER(SEARCH("Copo",$C116)),1,0)</f>
        <v>0</v>
      </c>
    </row>
    <row r="117" customFormat="false" ht="15" hidden="false" customHeight="true" outlineLevel="0" collapsed="false">
      <c r="A117" s="29" t="s">
        <v>187</v>
      </c>
      <c r="B117" s="35" t="str">
        <f aca="false">IF($C117="","",IFERROR(INDEX(Insumos_Categoria,MATCH($C117,Insumos_Ingrediente,0)),""))</f>
        <v>Consumíveis</v>
      </c>
      <c r="C117" s="29" t="s">
        <v>143</v>
      </c>
      <c r="D117" s="36" t="n">
        <v>1</v>
      </c>
      <c r="E117" s="35" t="str">
        <f aca="false">IF($C117="","",IFERROR(INDEX(Insumos_Unidade,MATCH($C117,Insumos_Ingrediente,0)),""))</f>
        <v>un</v>
      </c>
      <c r="F117" s="19" t="n">
        <f aca="false">IFERROR(INDEX(Insumos_CustoUnit,MATCH($C117,Insumos_Ingrediente,0)),0)</f>
        <v>0</v>
      </c>
      <c r="G117" s="19" t="n">
        <f aca="false">$D117*$F117</f>
        <v>0</v>
      </c>
      <c r="H117" s="38" t="n">
        <f aca="false">IF(OR($E117="g",$E117="ml"),$D117,0)</f>
        <v>0</v>
      </c>
      <c r="I117" s="38" t="n">
        <f aca="false">IF($C117="Açaí",1,0)</f>
        <v>0</v>
      </c>
      <c r="J117" s="38" t="n">
        <f aca="false">IF($C117="Banana",1,0)</f>
        <v>0</v>
      </c>
      <c r="K117" s="38" t="n">
        <f aca="false">IF($C117="Whey Protein",1,0)</f>
        <v>0</v>
      </c>
      <c r="L117" s="38" t="n">
        <f aca="false">IF(ISNUMBER(SEARCH("Copo",$C117)),1,0)</f>
        <v>0</v>
      </c>
    </row>
    <row r="118" customFormat="false" ht="15" hidden="false" customHeight="true" outlineLevel="0" collapsed="false">
      <c r="A118" s="29" t="s">
        <v>188</v>
      </c>
      <c r="B118" s="35" t="str">
        <f aca="false">IF($C118="","",IFERROR(INDEX(Insumos_Categoria,MATCH($C118,Insumos_Ingrediente,0)),""))</f>
        <v>Bases (Produção Própria)</v>
      </c>
      <c r="C118" s="29" t="s">
        <v>88</v>
      </c>
      <c r="D118" s="36" t="n">
        <v>270</v>
      </c>
      <c r="E118" s="35" t="str">
        <f aca="false">IF($C118="","",IFERROR(INDEX(Insumos_Unidade,MATCH($C118,Insumos_Ingrediente,0)),""))</f>
        <v>ml</v>
      </c>
      <c r="F118" s="19" t="n">
        <f aca="false">IFERROR(INDEX(Insumos_CustoUnit,MATCH($C118,Insumos_Ingrediente,0)),0)</f>
        <v>0.0165</v>
      </c>
      <c r="G118" s="19" t="n">
        <f aca="false">$D118*$F118</f>
        <v>4.455</v>
      </c>
      <c r="H118" s="37" t="n">
        <f aca="false">IF(OR($E118="g",$E118="ml"),$D118,0)</f>
        <v>270</v>
      </c>
      <c r="I118" s="38" t="n">
        <f aca="false">IF($C118="Açaí",1,0)</f>
        <v>1</v>
      </c>
      <c r="J118" s="38" t="n">
        <f aca="false">IF($C118="Banana",1,0)</f>
        <v>0</v>
      </c>
      <c r="K118" s="38" t="n">
        <f aca="false">IF($C118="Whey Protein",1,0)</f>
        <v>0</v>
      </c>
      <c r="L118" s="38" t="n">
        <f aca="false">IF(ISNUMBER(SEARCH("Copo",$C118)),1,0)</f>
        <v>0</v>
      </c>
    </row>
    <row r="119" customFormat="false" ht="15" hidden="false" customHeight="true" outlineLevel="0" collapsed="false">
      <c r="A119" s="29" t="s">
        <v>188</v>
      </c>
      <c r="B119" s="35" t="str">
        <f aca="false">IF($C119="","",IFERROR(INDEX(Insumos_Categoria,MATCH($C119,Insumos_Ingrediente,0)),""))</f>
        <v>Coberturas (30g)</v>
      </c>
      <c r="C119" s="29" t="s">
        <v>100</v>
      </c>
      <c r="D119" s="36" t="n">
        <v>30</v>
      </c>
      <c r="E119" s="35" t="str">
        <f aca="false">IF($C119="","",IFERROR(INDEX(Insumos_Unidade,MATCH($C119,Insumos_Ingrediente,0)),""))</f>
        <v>g</v>
      </c>
      <c r="F119" s="19" t="n">
        <f aca="false">IFERROR(INDEX(Insumos_CustoUnit,MATCH($C119,Insumos_Ingrediente,0)),0)</f>
        <v>0.00230769230769231</v>
      </c>
      <c r="G119" s="19" t="n">
        <f aca="false">$D119*$F119</f>
        <v>0.0692307692307692</v>
      </c>
      <c r="H119" s="37" t="n">
        <f aca="false">IF(OR($E119="g",$E119="ml"),$D119,0)</f>
        <v>30</v>
      </c>
      <c r="I119" s="38" t="n">
        <f aca="false">IF($C119="Açaí",1,0)</f>
        <v>0</v>
      </c>
      <c r="J119" s="38" t="n">
        <f aca="false">IF($C119="Banana",1,0)</f>
        <v>1</v>
      </c>
      <c r="K119" s="38" t="n">
        <f aca="false">IF($C119="Whey Protein",1,0)</f>
        <v>0</v>
      </c>
      <c r="L119" s="38" t="n">
        <f aca="false">IF(ISNUMBER(SEARCH("Copo",$C119)),1,0)</f>
        <v>0</v>
      </c>
    </row>
    <row r="120" customFormat="false" ht="15" hidden="false" customHeight="true" outlineLevel="0" collapsed="false">
      <c r="A120" s="29" t="s">
        <v>188</v>
      </c>
      <c r="B120" s="35" t="str">
        <f aca="false">IF($C120="","",IFERROR(INDEX(Insumos_Categoria,MATCH($C120,Insumos_Ingrediente,0)),""))</f>
        <v>Coberturas (30g)</v>
      </c>
      <c r="C120" s="29" t="s">
        <v>102</v>
      </c>
      <c r="D120" s="36" t="n">
        <v>30</v>
      </c>
      <c r="E120" s="35" t="str">
        <f aca="false">IF($C120="","",IFERROR(INDEX(Insumos_Unidade,MATCH($C120,Insumos_Ingrediente,0)),""))</f>
        <v>g</v>
      </c>
      <c r="F120" s="19" t="n">
        <f aca="false">IFERROR(INDEX(Insumos_CustoUnit,MATCH($C120,Insumos_Ingrediente,0)),0)</f>
        <v>0.02</v>
      </c>
      <c r="G120" s="19" t="n">
        <f aca="false">$D120*$F120</f>
        <v>0.6</v>
      </c>
      <c r="H120" s="37" t="n">
        <f aca="false">IF(OR($E120="g",$E120="ml"),$D120,0)</f>
        <v>30</v>
      </c>
      <c r="I120" s="38" t="n">
        <f aca="false">IF($C120="Açaí",1,0)</f>
        <v>0</v>
      </c>
      <c r="J120" s="38" t="n">
        <f aca="false">IF($C120="Banana",1,0)</f>
        <v>0</v>
      </c>
      <c r="K120" s="38" t="n">
        <f aca="false">IF($C120="Whey Protein",1,0)</f>
        <v>0</v>
      </c>
      <c r="L120" s="38" t="n">
        <f aca="false">IF(ISNUMBER(SEARCH("Copo",$C120)),1,0)</f>
        <v>0</v>
      </c>
    </row>
    <row r="121" customFormat="false" ht="15" hidden="false" customHeight="true" outlineLevel="0" collapsed="false">
      <c r="A121" s="29" t="s">
        <v>188</v>
      </c>
      <c r="B121" s="35" t="str">
        <f aca="false">IF($C121="","",IFERROR(INDEX(Insumos_Categoria,MATCH($C121,Insumos_Ingrediente,0)),""))</f>
        <v>Coberturas (30g)</v>
      </c>
      <c r="C121" s="29" t="s">
        <v>113</v>
      </c>
      <c r="D121" s="36" t="n">
        <v>30</v>
      </c>
      <c r="E121" s="35" t="str">
        <f aca="false">IF($C121="","",IFERROR(INDEX(Insumos_Unidade,MATCH($C121,Insumos_Ingrediente,0)),""))</f>
        <v>ml</v>
      </c>
      <c r="F121" s="19" t="n">
        <f aca="false">IFERROR(INDEX(Insumos_CustoUnit,MATCH($C121,Insumos_Ingrediente,0)),0)</f>
        <v>0</v>
      </c>
      <c r="G121" s="19" t="n">
        <f aca="false">$D121*$F121</f>
        <v>0</v>
      </c>
      <c r="H121" s="37" t="n">
        <f aca="false">IF(OR($E121="g",$E121="ml"),$D121,0)</f>
        <v>30</v>
      </c>
      <c r="I121" s="38" t="n">
        <f aca="false">IF($C121="Açaí",1,0)</f>
        <v>0</v>
      </c>
      <c r="J121" s="38" t="n">
        <f aca="false">IF($C121="Banana",1,0)</f>
        <v>0</v>
      </c>
      <c r="K121" s="38" t="n">
        <f aca="false">IF($C121="Whey Protein",1,0)</f>
        <v>0</v>
      </c>
      <c r="L121" s="38" t="n">
        <f aca="false">IF(ISNUMBER(SEARCH("Copo",$C121)),1,0)</f>
        <v>0</v>
      </c>
    </row>
    <row r="122" customFormat="false" ht="15" hidden="false" customHeight="true" outlineLevel="0" collapsed="false">
      <c r="A122" s="29" t="s">
        <v>188</v>
      </c>
      <c r="B122" s="35" t="str">
        <f aca="false">IF($C122="","",IFERROR(INDEX(Insumos_Categoria,MATCH($C122,Insumos_Ingrediente,0)),""))</f>
        <v>Embalagens</v>
      </c>
      <c r="C122" s="29" t="s">
        <v>123</v>
      </c>
      <c r="D122" s="36" t="n">
        <v>1</v>
      </c>
      <c r="E122" s="35" t="str">
        <f aca="false">IF($C122="","",IFERROR(INDEX(Insumos_Unidade,MATCH($C122,Insumos_Ingrediente,0)),""))</f>
        <v>un</v>
      </c>
      <c r="F122" s="19" t="n">
        <f aca="false">IFERROR(INDEX(Insumos_CustoUnit,MATCH($C122,Insumos_Ingrediente,0)),0)</f>
        <v>0.15372</v>
      </c>
      <c r="G122" s="19" t="n">
        <f aca="false">$D122*$F122</f>
        <v>0.15372</v>
      </c>
      <c r="H122" s="38" t="n">
        <f aca="false">IF(OR($E122="g",$E122="ml"),$D122,0)</f>
        <v>0</v>
      </c>
      <c r="I122" s="38" t="n">
        <f aca="false">IF($C122="Açaí",1,0)</f>
        <v>0</v>
      </c>
      <c r="J122" s="38" t="n">
        <f aca="false">IF($C122="Banana",1,0)</f>
        <v>0</v>
      </c>
      <c r="K122" s="38" t="n">
        <f aca="false">IF($C122="Whey Protein",1,0)</f>
        <v>0</v>
      </c>
      <c r="L122" s="38" t="n">
        <f aca="false">IF(ISNUMBER(SEARCH("Copo",$C122)),1,0)</f>
        <v>1</v>
      </c>
    </row>
    <row r="123" customFormat="false" ht="15" hidden="false" customHeight="true" outlineLevel="0" collapsed="false">
      <c r="A123" s="29" t="s">
        <v>188</v>
      </c>
      <c r="B123" s="35" t="str">
        <f aca="false">IF($C123="","",IFERROR(INDEX(Insumos_Categoria,MATCH($C123,Insumos_Ingrediente,0)),""))</f>
        <v>Embalagens</v>
      </c>
      <c r="C123" s="29" t="s">
        <v>126</v>
      </c>
      <c r="D123" s="36" t="n">
        <v>1</v>
      </c>
      <c r="E123" s="35" t="str">
        <f aca="false">IF($C123="","",IFERROR(INDEX(Insumos_Unidade,MATCH($C123,Insumos_Ingrediente,0)),""))</f>
        <v>un</v>
      </c>
      <c r="F123" s="19" t="n">
        <f aca="false">IFERROR(INDEX(Insumos_CustoUnit,MATCH($C123,Insumos_Ingrediente,0)),0)</f>
        <v>0.0823</v>
      </c>
      <c r="G123" s="19" t="n">
        <f aca="false">$D123*$F123</f>
        <v>0.0823</v>
      </c>
      <c r="H123" s="38" t="n">
        <f aca="false">IF(OR($E123="g",$E123="ml"),$D123,0)</f>
        <v>0</v>
      </c>
      <c r="I123" s="38" t="n">
        <f aca="false">IF($C123="Açaí",1,0)</f>
        <v>0</v>
      </c>
      <c r="J123" s="38" t="n">
        <f aca="false">IF($C123="Banana",1,0)</f>
        <v>0</v>
      </c>
      <c r="K123" s="38" t="n">
        <f aca="false">IF($C123="Whey Protein",1,0)</f>
        <v>0</v>
      </c>
      <c r="L123" s="38" t="n">
        <f aca="false">IF(ISNUMBER(SEARCH("Copo",$C123)),1,0)</f>
        <v>0</v>
      </c>
    </row>
    <row r="124" customFormat="false" ht="15" hidden="false" customHeight="true" outlineLevel="0" collapsed="false">
      <c r="A124" s="29" t="s">
        <v>188</v>
      </c>
      <c r="B124" s="35" t="str">
        <f aca="false">IF($C124="","",IFERROR(INDEX(Insumos_Categoria,MATCH($C124,Insumos_Ingrediente,0)),""))</f>
        <v>Consumíveis</v>
      </c>
      <c r="C124" s="29" t="s">
        <v>141</v>
      </c>
      <c r="D124" s="36" t="n">
        <v>1</v>
      </c>
      <c r="E124" s="35" t="str">
        <f aca="false">IF($C124="","",IFERROR(INDEX(Insumos_Unidade,MATCH($C124,Insumos_Ingrediente,0)),""))</f>
        <v>un</v>
      </c>
      <c r="F124" s="19" t="n">
        <f aca="false">IFERROR(INDEX(Insumos_CustoUnit,MATCH($C124,Insumos_Ingrediente,0)),0)</f>
        <v>0.0938</v>
      </c>
      <c r="G124" s="19" t="n">
        <f aca="false">$D124*$F124</f>
        <v>0.0938</v>
      </c>
      <c r="H124" s="38" t="n">
        <f aca="false">IF(OR($E124="g",$E124="ml"),$D124,0)</f>
        <v>0</v>
      </c>
      <c r="I124" s="38" t="n">
        <f aca="false">IF($C124="Açaí",1,0)</f>
        <v>0</v>
      </c>
      <c r="J124" s="38" t="n">
        <f aca="false">IF($C124="Banana",1,0)</f>
        <v>0</v>
      </c>
      <c r="K124" s="38" t="n">
        <f aca="false">IF($C124="Whey Protein",1,0)</f>
        <v>0</v>
      </c>
      <c r="L124" s="38" t="n">
        <f aca="false">IF(ISNUMBER(SEARCH("Copo",$C124)),1,0)</f>
        <v>0</v>
      </c>
    </row>
    <row r="125" customFormat="false" ht="15" hidden="false" customHeight="true" outlineLevel="0" collapsed="false">
      <c r="A125" s="29" t="s">
        <v>188</v>
      </c>
      <c r="B125" s="35" t="str">
        <f aca="false">IF($C125="","",IFERROR(INDEX(Insumos_Categoria,MATCH($C125,Insumos_Ingrediente,0)),""))</f>
        <v>Consumíveis</v>
      </c>
      <c r="C125" s="29" t="s">
        <v>143</v>
      </c>
      <c r="D125" s="36" t="n">
        <v>1</v>
      </c>
      <c r="E125" s="35" t="str">
        <f aca="false">IF($C125="","",IFERROR(INDEX(Insumos_Unidade,MATCH($C125,Insumos_Ingrediente,0)),""))</f>
        <v>un</v>
      </c>
      <c r="F125" s="19" t="n">
        <f aca="false">IFERROR(INDEX(Insumos_CustoUnit,MATCH($C125,Insumos_Ingrediente,0)),0)</f>
        <v>0</v>
      </c>
      <c r="G125" s="19" t="n">
        <f aca="false">$D125*$F125</f>
        <v>0</v>
      </c>
      <c r="H125" s="38" t="n">
        <f aca="false">IF(OR($E125="g",$E125="ml"),$D125,0)</f>
        <v>0</v>
      </c>
      <c r="I125" s="38" t="n">
        <f aca="false">IF($C125="Açaí",1,0)</f>
        <v>0</v>
      </c>
      <c r="J125" s="38" t="n">
        <f aca="false">IF($C125="Banana",1,0)</f>
        <v>0</v>
      </c>
      <c r="K125" s="38" t="n">
        <f aca="false">IF($C125="Whey Protein",1,0)</f>
        <v>0</v>
      </c>
      <c r="L125" s="38" t="n">
        <f aca="false">IF(ISNUMBER(SEARCH("Copo",$C125)),1,0)</f>
        <v>0</v>
      </c>
    </row>
    <row r="126" customFormat="false" ht="15" hidden="false" customHeight="true" outlineLevel="0" collapsed="false">
      <c r="A126" s="29" t="s">
        <v>189</v>
      </c>
      <c r="B126" s="35" t="str">
        <f aca="false">IF($C126="","",IFERROR(INDEX(Insumos_Categoria,MATCH($C126,Insumos_Ingrediente,0)),""))</f>
        <v>Bases (Produção Própria)</v>
      </c>
      <c r="C126" s="29" t="s">
        <v>88</v>
      </c>
      <c r="D126" s="36" t="n">
        <v>470</v>
      </c>
      <c r="E126" s="35" t="str">
        <f aca="false">IF($C126="","",IFERROR(INDEX(Insumos_Unidade,MATCH($C126,Insumos_Ingrediente,0)),""))</f>
        <v>ml</v>
      </c>
      <c r="F126" s="19" t="n">
        <f aca="false">IFERROR(INDEX(Insumos_CustoUnit,MATCH($C126,Insumos_Ingrediente,0)),0)</f>
        <v>0.0165</v>
      </c>
      <c r="G126" s="19" t="n">
        <f aca="false">$D126*$F126</f>
        <v>7.755</v>
      </c>
      <c r="H126" s="37" t="n">
        <f aca="false">IF(OR($E126="g",$E126="ml"),$D126,0)</f>
        <v>470</v>
      </c>
      <c r="I126" s="38" t="n">
        <f aca="false">IF($C126="Açaí",1,0)</f>
        <v>1</v>
      </c>
      <c r="J126" s="38" t="n">
        <f aca="false">IF($C126="Banana",1,0)</f>
        <v>0</v>
      </c>
      <c r="K126" s="38" t="n">
        <f aca="false">IF($C126="Whey Protein",1,0)</f>
        <v>0</v>
      </c>
      <c r="L126" s="38" t="n">
        <f aca="false">IF(ISNUMBER(SEARCH("Copo",$C126)),1,0)</f>
        <v>0</v>
      </c>
    </row>
    <row r="127" customFormat="false" ht="15" hidden="false" customHeight="true" outlineLevel="0" collapsed="false">
      <c r="A127" s="29" t="s">
        <v>189</v>
      </c>
      <c r="B127" s="35" t="str">
        <f aca="false">IF($C127="","",IFERROR(INDEX(Insumos_Categoria,MATCH($C127,Insumos_Ingrediente,0)),""))</f>
        <v>Coberturas (30g)</v>
      </c>
      <c r="C127" s="29" t="s">
        <v>100</v>
      </c>
      <c r="D127" s="36" t="n">
        <v>30</v>
      </c>
      <c r="E127" s="35" t="str">
        <f aca="false">IF($C127="","",IFERROR(INDEX(Insumos_Unidade,MATCH($C127,Insumos_Ingrediente,0)),""))</f>
        <v>g</v>
      </c>
      <c r="F127" s="19" t="n">
        <f aca="false">IFERROR(INDEX(Insumos_CustoUnit,MATCH($C127,Insumos_Ingrediente,0)),0)</f>
        <v>0.00230769230769231</v>
      </c>
      <c r="G127" s="19" t="n">
        <f aca="false">$D127*$F127</f>
        <v>0.0692307692307692</v>
      </c>
      <c r="H127" s="37" t="n">
        <f aca="false">IF(OR($E127="g",$E127="ml"),$D127,0)</f>
        <v>30</v>
      </c>
      <c r="I127" s="38" t="n">
        <f aca="false">IF($C127="Açaí",1,0)</f>
        <v>0</v>
      </c>
      <c r="J127" s="38" t="n">
        <f aca="false">IF($C127="Banana",1,0)</f>
        <v>1</v>
      </c>
      <c r="K127" s="38" t="n">
        <f aca="false">IF($C127="Whey Protein",1,0)</f>
        <v>0</v>
      </c>
      <c r="L127" s="38" t="n">
        <f aca="false">IF(ISNUMBER(SEARCH("Copo",$C127)),1,0)</f>
        <v>0</v>
      </c>
    </row>
    <row r="128" customFormat="false" ht="15" hidden="false" customHeight="true" outlineLevel="0" collapsed="false">
      <c r="A128" s="29" t="s">
        <v>189</v>
      </c>
      <c r="B128" s="35" t="str">
        <f aca="false">IF($C128="","",IFERROR(INDEX(Insumos_Categoria,MATCH($C128,Insumos_Ingrediente,0)),""))</f>
        <v>Coberturas (30g)</v>
      </c>
      <c r="C128" s="29" t="s">
        <v>102</v>
      </c>
      <c r="D128" s="36" t="n">
        <v>30</v>
      </c>
      <c r="E128" s="35" t="str">
        <f aca="false">IF($C128="","",IFERROR(INDEX(Insumos_Unidade,MATCH($C128,Insumos_Ingrediente,0)),""))</f>
        <v>g</v>
      </c>
      <c r="F128" s="19" t="n">
        <f aca="false">IFERROR(INDEX(Insumos_CustoUnit,MATCH($C128,Insumos_Ingrediente,0)),0)</f>
        <v>0.02</v>
      </c>
      <c r="G128" s="19" t="n">
        <f aca="false">$D128*$F128</f>
        <v>0.6</v>
      </c>
      <c r="H128" s="37" t="n">
        <f aca="false">IF(OR($E128="g",$E128="ml"),$D128,0)</f>
        <v>30</v>
      </c>
      <c r="I128" s="38" t="n">
        <f aca="false">IF($C128="Açaí",1,0)</f>
        <v>0</v>
      </c>
      <c r="J128" s="38" t="n">
        <f aca="false">IF($C128="Banana",1,0)</f>
        <v>0</v>
      </c>
      <c r="K128" s="38" t="n">
        <f aca="false">IF($C128="Whey Protein",1,0)</f>
        <v>0</v>
      </c>
      <c r="L128" s="38" t="n">
        <f aca="false">IF(ISNUMBER(SEARCH("Copo",$C128)),1,0)</f>
        <v>0</v>
      </c>
    </row>
    <row r="129" customFormat="false" ht="15" hidden="false" customHeight="true" outlineLevel="0" collapsed="false">
      <c r="A129" s="29" t="s">
        <v>189</v>
      </c>
      <c r="B129" s="35" t="str">
        <f aca="false">IF($C129="","",IFERROR(INDEX(Insumos_Categoria,MATCH($C129,Insumos_Ingrediente,0)),""))</f>
        <v>Coberturas (30g)</v>
      </c>
      <c r="C129" s="29" t="s">
        <v>113</v>
      </c>
      <c r="D129" s="36" t="n">
        <v>30</v>
      </c>
      <c r="E129" s="35" t="str">
        <f aca="false">IF($C129="","",IFERROR(INDEX(Insumos_Unidade,MATCH($C129,Insumos_Ingrediente,0)),""))</f>
        <v>ml</v>
      </c>
      <c r="F129" s="19" t="n">
        <f aca="false">IFERROR(INDEX(Insumos_CustoUnit,MATCH($C129,Insumos_Ingrediente,0)),0)</f>
        <v>0</v>
      </c>
      <c r="G129" s="19" t="n">
        <f aca="false">$D129*$F129</f>
        <v>0</v>
      </c>
      <c r="H129" s="37" t="n">
        <f aca="false">IF(OR($E129="g",$E129="ml"),$D129,0)</f>
        <v>30</v>
      </c>
      <c r="I129" s="38" t="n">
        <f aca="false">IF($C129="Açaí",1,0)</f>
        <v>0</v>
      </c>
      <c r="J129" s="38" t="n">
        <f aca="false">IF($C129="Banana",1,0)</f>
        <v>0</v>
      </c>
      <c r="K129" s="38" t="n">
        <f aca="false">IF($C129="Whey Protein",1,0)</f>
        <v>0</v>
      </c>
      <c r="L129" s="38" t="n">
        <f aca="false">IF(ISNUMBER(SEARCH("Copo",$C129)),1,0)</f>
        <v>0</v>
      </c>
    </row>
    <row r="130" customFormat="false" ht="15" hidden="false" customHeight="true" outlineLevel="0" collapsed="false">
      <c r="A130" s="29" t="s">
        <v>189</v>
      </c>
      <c r="B130" s="35" t="str">
        <f aca="false">IF($C130="","",IFERROR(INDEX(Insumos_Categoria,MATCH($C130,Insumos_Ingrediente,0)),""))</f>
        <v>Embalagens</v>
      </c>
      <c r="C130" s="29" t="s">
        <v>124</v>
      </c>
      <c r="D130" s="36" t="n">
        <v>1</v>
      </c>
      <c r="E130" s="35" t="str">
        <f aca="false">IF($C130="","",IFERROR(INDEX(Insumos_Unidade,MATCH($C130,Insumos_Ingrediente,0)),""))</f>
        <v>un</v>
      </c>
      <c r="F130" s="19" t="n">
        <f aca="false">IFERROR(INDEX(Insumos_CustoUnit,MATCH($C130,Insumos_Ingrediente,0)),0)</f>
        <v>0.24365</v>
      </c>
      <c r="G130" s="19" t="n">
        <f aca="false">$D130*$F130</f>
        <v>0.24365</v>
      </c>
      <c r="H130" s="38" t="n">
        <f aca="false">IF(OR($E130="g",$E130="ml"),$D130,0)</f>
        <v>0</v>
      </c>
      <c r="I130" s="38" t="n">
        <f aca="false">IF($C130="Açaí",1,0)</f>
        <v>0</v>
      </c>
      <c r="J130" s="38" t="n">
        <f aca="false">IF($C130="Banana",1,0)</f>
        <v>0</v>
      </c>
      <c r="K130" s="38" t="n">
        <f aca="false">IF($C130="Whey Protein",1,0)</f>
        <v>0</v>
      </c>
      <c r="L130" s="38" t="n">
        <f aca="false">IF(ISNUMBER(SEARCH("Copo",$C130)),1,0)</f>
        <v>1</v>
      </c>
    </row>
    <row r="131" customFormat="false" ht="15" hidden="false" customHeight="true" outlineLevel="0" collapsed="false">
      <c r="A131" s="29" t="s">
        <v>189</v>
      </c>
      <c r="B131" s="35" t="str">
        <f aca="false">IF($C131="","",IFERROR(INDEX(Insumos_Categoria,MATCH($C131,Insumos_Ingrediente,0)),""))</f>
        <v>Embalagens</v>
      </c>
      <c r="C131" s="29" t="s">
        <v>127</v>
      </c>
      <c r="D131" s="36" t="n">
        <v>1</v>
      </c>
      <c r="E131" s="35" t="str">
        <f aca="false">IF($C131="","",IFERROR(INDEX(Insumos_Unidade,MATCH($C131,Insumos_Ingrediente,0)),""))</f>
        <v>un</v>
      </c>
      <c r="F131" s="19" t="n">
        <f aca="false">IFERROR(INDEX(Insumos_CustoUnit,MATCH($C131,Insumos_Ingrediente,0)),0)</f>
        <v>0.0923</v>
      </c>
      <c r="G131" s="19" t="n">
        <f aca="false">$D131*$F131</f>
        <v>0.0923</v>
      </c>
      <c r="H131" s="38" t="n">
        <f aca="false">IF(OR($E131="g",$E131="ml"),$D131,0)</f>
        <v>0</v>
      </c>
      <c r="I131" s="38" t="n">
        <f aca="false">IF($C131="Açaí",1,0)</f>
        <v>0</v>
      </c>
      <c r="J131" s="38" t="n">
        <f aca="false">IF($C131="Banana",1,0)</f>
        <v>0</v>
      </c>
      <c r="K131" s="38" t="n">
        <f aca="false">IF($C131="Whey Protein",1,0)</f>
        <v>0</v>
      </c>
      <c r="L131" s="38" t="n">
        <f aca="false">IF(ISNUMBER(SEARCH("Copo",$C131)),1,0)</f>
        <v>0</v>
      </c>
    </row>
    <row r="132" customFormat="false" ht="15" hidden="false" customHeight="true" outlineLevel="0" collapsed="false">
      <c r="A132" s="29" t="s">
        <v>189</v>
      </c>
      <c r="B132" s="35" t="str">
        <f aca="false">IF($C132="","",IFERROR(INDEX(Insumos_Categoria,MATCH($C132,Insumos_Ingrediente,0)),""))</f>
        <v>Consumíveis</v>
      </c>
      <c r="C132" s="29" t="s">
        <v>141</v>
      </c>
      <c r="D132" s="36" t="n">
        <v>1</v>
      </c>
      <c r="E132" s="35" t="str">
        <f aca="false">IF($C132="","",IFERROR(INDEX(Insumos_Unidade,MATCH($C132,Insumos_Ingrediente,0)),""))</f>
        <v>un</v>
      </c>
      <c r="F132" s="19" t="n">
        <f aca="false">IFERROR(INDEX(Insumos_CustoUnit,MATCH($C132,Insumos_Ingrediente,0)),0)</f>
        <v>0.0938</v>
      </c>
      <c r="G132" s="19" t="n">
        <f aca="false">$D132*$F132</f>
        <v>0.0938</v>
      </c>
      <c r="H132" s="38" t="n">
        <f aca="false">IF(OR($E132="g",$E132="ml"),$D132,0)</f>
        <v>0</v>
      </c>
      <c r="I132" s="38" t="n">
        <f aca="false">IF($C132="Açaí",1,0)</f>
        <v>0</v>
      </c>
      <c r="J132" s="38" t="n">
        <f aca="false">IF($C132="Banana",1,0)</f>
        <v>0</v>
      </c>
      <c r="K132" s="38" t="n">
        <f aca="false">IF($C132="Whey Protein",1,0)</f>
        <v>0</v>
      </c>
      <c r="L132" s="38" t="n">
        <f aca="false">IF(ISNUMBER(SEARCH("Copo",$C132)),1,0)</f>
        <v>0</v>
      </c>
    </row>
    <row r="133" customFormat="false" ht="15" hidden="false" customHeight="true" outlineLevel="0" collapsed="false">
      <c r="A133" s="29" t="s">
        <v>189</v>
      </c>
      <c r="B133" s="35" t="str">
        <f aca="false">IF($C133="","",IFERROR(INDEX(Insumos_Categoria,MATCH($C133,Insumos_Ingrediente,0)),""))</f>
        <v>Consumíveis</v>
      </c>
      <c r="C133" s="29" t="s">
        <v>143</v>
      </c>
      <c r="D133" s="36" t="n">
        <v>1</v>
      </c>
      <c r="E133" s="35" t="str">
        <f aca="false">IF($C133="","",IFERROR(INDEX(Insumos_Unidade,MATCH($C133,Insumos_Ingrediente,0)),""))</f>
        <v>un</v>
      </c>
      <c r="F133" s="19" t="n">
        <f aca="false">IFERROR(INDEX(Insumos_CustoUnit,MATCH($C133,Insumos_Ingrediente,0)),0)</f>
        <v>0</v>
      </c>
      <c r="G133" s="19" t="n">
        <f aca="false">$D133*$F133</f>
        <v>0</v>
      </c>
      <c r="H133" s="38" t="n">
        <f aca="false">IF(OR($E133="g",$E133="ml"),$D133,0)</f>
        <v>0</v>
      </c>
      <c r="I133" s="38" t="n">
        <f aca="false">IF($C133="Açaí",1,0)</f>
        <v>0</v>
      </c>
      <c r="J133" s="38" t="n">
        <f aca="false">IF($C133="Banana",1,0)</f>
        <v>0</v>
      </c>
      <c r="K133" s="38" t="n">
        <f aca="false">IF($C133="Whey Protein",1,0)</f>
        <v>0</v>
      </c>
      <c r="L133" s="38" t="n">
        <f aca="false">IF(ISNUMBER(SEARCH("Copo",$C133)),1,0)</f>
        <v>0</v>
      </c>
    </row>
    <row r="134" customFormat="false" ht="15" hidden="false" customHeight="true" outlineLevel="0" collapsed="false">
      <c r="A134" s="29" t="s">
        <v>190</v>
      </c>
      <c r="B134" s="35" t="str">
        <f aca="false">IF($C134="","",IFERROR(INDEX(Insumos_Categoria,MATCH($C134,Insumos_Ingrediente,0)),""))</f>
        <v>Bases (Produção Própria)</v>
      </c>
      <c r="C134" s="29" t="s">
        <v>88</v>
      </c>
      <c r="D134" s="36" t="n">
        <v>170</v>
      </c>
      <c r="E134" s="35" t="str">
        <f aca="false">IF($C134="","",IFERROR(INDEX(Insumos_Unidade,MATCH($C134,Insumos_Ingrediente,0)),""))</f>
        <v>ml</v>
      </c>
      <c r="F134" s="19" t="n">
        <f aca="false">IFERROR(INDEX(Insumos_CustoUnit,MATCH($C134,Insumos_Ingrediente,0)),0)</f>
        <v>0.0165</v>
      </c>
      <c r="G134" s="19" t="n">
        <f aca="false">$D134*$F134</f>
        <v>2.805</v>
      </c>
      <c r="H134" s="37" t="n">
        <f aca="false">IF(OR($E134="g",$E134="ml"),$D134,0)</f>
        <v>170</v>
      </c>
      <c r="I134" s="38" t="n">
        <f aca="false">IF($C134="Açaí",1,0)</f>
        <v>1</v>
      </c>
      <c r="J134" s="38" t="n">
        <f aca="false">IF($C134="Banana",1,0)</f>
        <v>0</v>
      </c>
      <c r="K134" s="38" t="n">
        <f aca="false">IF($C134="Whey Protein",1,0)</f>
        <v>0</v>
      </c>
      <c r="L134" s="38" t="n">
        <f aca="false">IF(ISNUMBER(SEARCH("Copo",$C134)),1,0)</f>
        <v>0</v>
      </c>
    </row>
    <row r="135" customFormat="false" ht="15" hidden="false" customHeight="true" outlineLevel="0" collapsed="false">
      <c r="A135" s="29" t="s">
        <v>190</v>
      </c>
      <c r="B135" s="35" t="str">
        <f aca="false">IF($C135="","",IFERROR(INDEX(Insumos_Categoria,MATCH($C135,Insumos_Ingrediente,0)),""))</f>
        <v>Coberturas (30g)</v>
      </c>
      <c r="C135" s="29" t="s">
        <v>101</v>
      </c>
      <c r="D135" s="36" t="n">
        <v>30</v>
      </c>
      <c r="E135" s="35" t="str">
        <f aca="false">IF($C135="","",IFERROR(INDEX(Insumos_Unidade,MATCH($C135,Insumos_Ingrediente,0)),""))</f>
        <v>g</v>
      </c>
      <c r="F135" s="19" t="n">
        <f aca="false">IFERROR(INDEX(Insumos_CustoUnit,MATCH($C135,Insumos_Ingrediente,0)),0)</f>
        <v>0.0165</v>
      </c>
      <c r="G135" s="19" t="n">
        <f aca="false">$D135*$F135</f>
        <v>0.495</v>
      </c>
      <c r="H135" s="37" t="n">
        <f aca="false">IF(OR($E135="g",$E135="ml"),$D135,0)</f>
        <v>30</v>
      </c>
      <c r="I135" s="38" t="n">
        <f aca="false">IF($C135="Açaí",1,0)</f>
        <v>0</v>
      </c>
      <c r="J135" s="38" t="n">
        <f aca="false">IF($C135="Banana",1,0)</f>
        <v>0</v>
      </c>
      <c r="K135" s="38" t="n">
        <f aca="false">IF($C135="Whey Protein",1,0)</f>
        <v>0</v>
      </c>
      <c r="L135" s="38" t="n">
        <f aca="false">IF(ISNUMBER(SEARCH("Copo",$C135)),1,0)</f>
        <v>0</v>
      </c>
    </row>
    <row r="136" customFormat="false" ht="15" hidden="false" customHeight="true" outlineLevel="0" collapsed="false">
      <c r="A136" s="29" t="s">
        <v>190</v>
      </c>
      <c r="B136" s="35" t="str">
        <f aca="false">IF($C136="","",IFERROR(INDEX(Insumos_Categoria,MATCH($C136,Insumos_Ingrediente,0)),""))</f>
        <v>Coberturas (30g)</v>
      </c>
      <c r="C136" s="29" t="s">
        <v>102</v>
      </c>
      <c r="D136" s="36" t="n">
        <v>30</v>
      </c>
      <c r="E136" s="35" t="str">
        <f aca="false">IF($C136="","",IFERROR(INDEX(Insumos_Unidade,MATCH($C136,Insumos_Ingrediente,0)),""))</f>
        <v>g</v>
      </c>
      <c r="F136" s="19" t="n">
        <f aca="false">IFERROR(INDEX(Insumos_CustoUnit,MATCH($C136,Insumos_Ingrediente,0)),0)</f>
        <v>0.02</v>
      </c>
      <c r="G136" s="19" t="n">
        <f aca="false">$D136*$F136</f>
        <v>0.6</v>
      </c>
      <c r="H136" s="37" t="n">
        <f aca="false">IF(OR($E136="g",$E136="ml"),$D136,0)</f>
        <v>30</v>
      </c>
      <c r="I136" s="38" t="n">
        <f aca="false">IF($C136="Açaí",1,0)</f>
        <v>0</v>
      </c>
      <c r="J136" s="38" t="n">
        <f aca="false">IF($C136="Banana",1,0)</f>
        <v>0</v>
      </c>
      <c r="K136" s="38" t="n">
        <f aca="false">IF($C136="Whey Protein",1,0)</f>
        <v>0</v>
      </c>
      <c r="L136" s="38" t="n">
        <f aca="false">IF(ISNUMBER(SEARCH("Copo",$C136)),1,0)</f>
        <v>0</v>
      </c>
    </row>
    <row r="137" customFormat="false" ht="15" hidden="false" customHeight="true" outlineLevel="0" collapsed="false">
      <c r="A137" s="29" t="s">
        <v>190</v>
      </c>
      <c r="B137" s="35" t="str">
        <f aca="false">IF($C137="","",IFERROR(INDEX(Insumos_Categoria,MATCH($C137,Insumos_Ingrediente,0)),""))</f>
        <v>Coberturas (30g)</v>
      </c>
      <c r="C137" s="29" t="s">
        <v>100</v>
      </c>
      <c r="D137" s="36" t="n">
        <v>30</v>
      </c>
      <c r="E137" s="35" t="str">
        <f aca="false">IF($C137="","",IFERROR(INDEX(Insumos_Unidade,MATCH($C137,Insumos_Ingrediente,0)),""))</f>
        <v>g</v>
      </c>
      <c r="F137" s="19" t="n">
        <f aca="false">IFERROR(INDEX(Insumos_CustoUnit,MATCH($C137,Insumos_Ingrediente,0)),0)</f>
        <v>0.00230769230769231</v>
      </c>
      <c r="G137" s="19" t="n">
        <f aca="false">$D137*$F137</f>
        <v>0.0692307692307692</v>
      </c>
      <c r="H137" s="37" t="n">
        <f aca="false">IF(OR($E137="g",$E137="ml"),$D137,0)</f>
        <v>30</v>
      </c>
      <c r="I137" s="38" t="n">
        <f aca="false">IF($C137="Açaí",1,0)</f>
        <v>0</v>
      </c>
      <c r="J137" s="38" t="n">
        <f aca="false">IF($C137="Banana",1,0)</f>
        <v>1</v>
      </c>
      <c r="K137" s="38" t="n">
        <f aca="false">IF($C137="Whey Protein",1,0)</f>
        <v>0</v>
      </c>
      <c r="L137" s="38" t="n">
        <f aca="false">IF(ISNUMBER(SEARCH("Copo",$C137)),1,0)</f>
        <v>0</v>
      </c>
    </row>
    <row r="138" customFormat="false" ht="15" hidden="false" customHeight="true" outlineLevel="0" collapsed="false">
      <c r="A138" s="29" t="s">
        <v>190</v>
      </c>
      <c r="B138" s="35" t="str">
        <f aca="false">IF($C138="","",IFERROR(INDEX(Insumos_Categoria,MATCH($C138,Insumos_Ingrediente,0)),""))</f>
        <v>Embalagens</v>
      </c>
      <c r="C138" s="29" t="s">
        <v>120</v>
      </c>
      <c r="D138" s="36" t="n">
        <v>1</v>
      </c>
      <c r="E138" s="35" t="str">
        <f aca="false">IF($C138="","",IFERROR(INDEX(Insumos_Unidade,MATCH($C138,Insumos_Ingrediente,0)),""))</f>
        <v>un</v>
      </c>
      <c r="F138" s="19" t="n">
        <f aca="false">IFERROR(INDEX(Insumos_CustoUnit,MATCH($C138,Insumos_Ingrediente,0)),0)</f>
        <v>0.1668</v>
      </c>
      <c r="G138" s="19" t="n">
        <f aca="false">$D138*$F138</f>
        <v>0.1668</v>
      </c>
      <c r="H138" s="38" t="n">
        <f aca="false">IF(OR($E138="g",$E138="ml"),$D138,0)</f>
        <v>0</v>
      </c>
      <c r="I138" s="38" t="n">
        <f aca="false">IF($C138="Açaí",1,0)</f>
        <v>0</v>
      </c>
      <c r="J138" s="38" t="n">
        <f aca="false">IF($C138="Banana",1,0)</f>
        <v>0</v>
      </c>
      <c r="K138" s="38" t="n">
        <f aca="false">IF($C138="Whey Protein",1,0)</f>
        <v>0</v>
      </c>
      <c r="L138" s="38" t="n">
        <f aca="false">IF(ISNUMBER(SEARCH("Copo",$C138)),1,0)</f>
        <v>1</v>
      </c>
    </row>
    <row r="139" customFormat="false" ht="15" hidden="false" customHeight="true" outlineLevel="0" collapsed="false">
      <c r="A139" s="29" t="s">
        <v>190</v>
      </c>
      <c r="B139" s="35" t="str">
        <f aca="false">IF($C139="","",IFERROR(INDEX(Insumos_Categoria,MATCH($C139,Insumos_Ingrediente,0)),""))</f>
        <v>Embalagens</v>
      </c>
      <c r="C139" s="29" t="s">
        <v>125</v>
      </c>
      <c r="D139" s="36" t="n">
        <v>1</v>
      </c>
      <c r="E139" s="35" t="str">
        <f aca="false">IF($C139="","",IFERROR(INDEX(Insumos_Unidade,MATCH($C139,Insumos_Ingrediente,0)),""))</f>
        <v>un</v>
      </c>
      <c r="F139" s="19" t="n">
        <f aca="false">IFERROR(INDEX(Insumos_CustoUnit,MATCH($C139,Insumos_Ingrediente,0)),0)</f>
        <v>0.0823</v>
      </c>
      <c r="G139" s="19" t="n">
        <f aca="false">$D139*$F139</f>
        <v>0.0823</v>
      </c>
      <c r="H139" s="38" t="n">
        <f aca="false">IF(OR($E139="g",$E139="ml"),$D139,0)</f>
        <v>0</v>
      </c>
      <c r="I139" s="38" t="n">
        <f aca="false">IF($C139="Açaí",1,0)</f>
        <v>0</v>
      </c>
      <c r="J139" s="38" t="n">
        <f aca="false">IF($C139="Banana",1,0)</f>
        <v>0</v>
      </c>
      <c r="K139" s="38" t="n">
        <f aca="false">IF($C139="Whey Protein",1,0)</f>
        <v>0</v>
      </c>
      <c r="L139" s="38" t="n">
        <f aca="false">IF(ISNUMBER(SEARCH("Copo",$C139)),1,0)</f>
        <v>0</v>
      </c>
    </row>
    <row r="140" customFormat="false" ht="15" hidden="false" customHeight="true" outlineLevel="0" collapsed="false">
      <c r="A140" s="29" t="s">
        <v>190</v>
      </c>
      <c r="B140" s="35" t="str">
        <f aca="false">IF($C140="","",IFERROR(INDEX(Insumos_Categoria,MATCH($C140,Insumos_Ingrediente,0)),""))</f>
        <v>Consumíveis</v>
      </c>
      <c r="C140" s="29" t="s">
        <v>141</v>
      </c>
      <c r="D140" s="36" t="n">
        <v>1</v>
      </c>
      <c r="E140" s="35" t="str">
        <f aca="false">IF($C140="","",IFERROR(INDEX(Insumos_Unidade,MATCH($C140,Insumos_Ingrediente,0)),""))</f>
        <v>un</v>
      </c>
      <c r="F140" s="19" t="n">
        <f aca="false">IFERROR(INDEX(Insumos_CustoUnit,MATCH($C140,Insumos_Ingrediente,0)),0)</f>
        <v>0.0938</v>
      </c>
      <c r="G140" s="19" t="n">
        <f aca="false">$D140*$F140</f>
        <v>0.0938</v>
      </c>
      <c r="H140" s="38" t="n">
        <f aca="false">IF(OR($E140="g",$E140="ml"),$D140,0)</f>
        <v>0</v>
      </c>
      <c r="I140" s="38" t="n">
        <f aca="false">IF($C140="Açaí",1,0)</f>
        <v>0</v>
      </c>
      <c r="J140" s="38" t="n">
        <f aca="false">IF($C140="Banana",1,0)</f>
        <v>0</v>
      </c>
      <c r="K140" s="38" t="n">
        <f aca="false">IF($C140="Whey Protein",1,0)</f>
        <v>0</v>
      </c>
      <c r="L140" s="38" t="n">
        <f aca="false">IF(ISNUMBER(SEARCH("Copo",$C140)),1,0)</f>
        <v>0</v>
      </c>
    </row>
    <row r="141" customFormat="false" ht="15" hidden="false" customHeight="true" outlineLevel="0" collapsed="false">
      <c r="A141" s="29" t="s">
        <v>190</v>
      </c>
      <c r="B141" s="35" t="str">
        <f aca="false">IF($C141="","",IFERROR(INDEX(Insumos_Categoria,MATCH($C141,Insumos_Ingrediente,0)),""))</f>
        <v>Consumíveis</v>
      </c>
      <c r="C141" s="29" t="s">
        <v>143</v>
      </c>
      <c r="D141" s="36" t="n">
        <v>1</v>
      </c>
      <c r="E141" s="35" t="str">
        <f aca="false">IF($C141="","",IFERROR(INDEX(Insumos_Unidade,MATCH($C141,Insumos_Ingrediente,0)),""))</f>
        <v>un</v>
      </c>
      <c r="F141" s="19" t="n">
        <f aca="false">IFERROR(INDEX(Insumos_CustoUnit,MATCH($C141,Insumos_Ingrediente,0)),0)</f>
        <v>0</v>
      </c>
      <c r="G141" s="19" t="n">
        <f aca="false">$D141*$F141</f>
        <v>0</v>
      </c>
      <c r="H141" s="38" t="n">
        <f aca="false">IF(OR($E141="g",$E141="ml"),$D141,0)</f>
        <v>0</v>
      </c>
      <c r="I141" s="38" t="n">
        <f aca="false">IF($C141="Açaí",1,0)</f>
        <v>0</v>
      </c>
      <c r="J141" s="38" t="n">
        <f aca="false">IF($C141="Banana",1,0)</f>
        <v>0</v>
      </c>
      <c r="K141" s="38" t="n">
        <f aca="false">IF($C141="Whey Protein",1,0)</f>
        <v>0</v>
      </c>
      <c r="L141" s="38" t="n">
        <f aca="false">IF(ISNUMBER(SEARCH("Copo",$C141)),1,0)</f>
        <v>0</v>
      </c>
    </row>
    <row r="142" customFormat="false" ht="15" hidden="false" customHeight="true" outlineLevel="0" collapsed="false">
      <c r="A142" s="29" t="s">
        <v>191</v>
      </c>
      <c r="B142" s="35" t="str">
        <f aca="false">IF($C142="","",IFERROR(INDEX(Insumos_Categoria,MATCH($C142,Insumos_Ingrediente,0)),""))</f>
        <v>Bases (Produção Própria)</v>
      </c>
      <c r="C142" s="29" t="s">
        <v>88</v>
      </c>
      <c r="D142" s="36" t="n">
        <v>270</v>
      </c>
      <c r="E142" s="35" t="str">
        <f aca="false">IF($C142="","",IFERROR(INDEX(Insumos_Unidade,MATCH($C142,Insumos_Ingrediente,0)),""))</f>
        <v>ml</v>
      </c>
      <c r="F142" s="19" t="n">
        <f aca="false">IFERROR(INDEX(Insumos_CustoUnit,MATCH($C142,Insumos_Ingrediente,0)),0)</f>
        <v>0.0165</v>
      </c>
      <c r="G142" s="19" t="n">
        <f aca="false">$D142*$F142</f>
        <v>4.455</v>
      </c>
      <c r="H142" s="37" t="n">
        <f aca="false">IF(OR($E142="g",$E142="ml"),$D142,0)</f>
        <v>270</v>
      </c>
      <c r="I142" s="38" t="n">
        <f aca="false">IF($C142="Açaí",1,0)</f>
        <v>1</v>
      </c>
      <c r="J142" s="38" t="n">
        <f aca="false">IF($C142="Banana",1,0)</f>
        <v>0</v>
      </c>
      <c r="K142" s="38" t="n">
        <f aca="false">IF($C142="Whey Protein",1,0)</f>
        <v>0</v>
      </c>
      <c r="L142" s="38" t="n">
        <f aca="false">IF(ISNUMBER(SEARCH("Copo",$C142)),1,0)</f>
        <v>0</v>
      </c>
    </row>
    <row r="143" customFormat="false" ht="15" hidden="false" customHeight="true" outlineLevel="0" collapsed="false">
      <c r="A143" s="29" t="s">
        <v>191</v>
      </c>
      <c r="B143" s="35" t="str">
        <f aca="false">IF($C143="","",IFERROR(INDEX(Insumos_Categoria,MATCH($C143,Insumos_Ingrediente,0)),""))</f>
        <v>Coberturas (30g)</v>
      </c>
      <c r="C143" s="29" t="s">
        <v>101</v>
      </c>
      <c r="D143" s="36" t="n">
        <v>30</v>
      </c>
      <c r="E143" s="35" t="str">
        <f aca="false">IF($C143="","",IFERROR(INDEX(Insumos_Unidade,MATCH($C143,Insumos_Ingrediente,0)),""))</f>
        <v>g</v>
      </c>
      <c r="F143" s="19" t="n">
        <f aca="false">IFERROR(INDEX(Insumos_CustoUnit,MATCH($C143,Insumos_Ingrediente,0)),0)</f>
        <v>0.0165</v>
      </c>
      <c r="G143" s="19" t="n">
        <f aca="false">$D143*$F143</f>
        <v>0.495</v>
      </c>
      <c r="H143" s="37" t="n">
        <f aca="false">IF(OR($E143="g",$E143="ml"),$D143,0)</f>
        <v>30</v>
      </c>
      <c r="I143" s="38" t="n">
        <f aca="false">IF($C143="Açaí",1,0)</f>
        <v>0</v>
      </c>
      <c r="J143" s="38" t="n">
        <f aca="false">IF($C143="Banana",1,0)</f>
        <v>0</v>
      </c>
      <c r="K143" s="38" t="n">
        <f aca="false">IF($C143="Whey Protein",1,0)</f>
        <v>0</v>
      </c>
      <c r="L143" s="38" t="n">
        <f aca="false">IF(ISNUMBER(SEARCH("Copo",$C143)),1,0)</f>
        <v>0</v>
      </c>
    </row>
    <row r="144" customFormat="false" ht="15" hidden="false" customHeight="true" outlineLevel="0" collapsed="false">
      <c r="A144" s="29" t="s">
        <v>191</v>
      </c>
      <c r="B144" s="35" t="str">
        <f aca="false">IF($C144="","",IFERROR(INDEX(Insumos_Categoria,MATCH($C144,Insumos_Ingrediente,0)),""))</f>
        <v>Coberturas (30g)</v>
      </c>
      <c r="C144" s="29" t="s">
        <v>102</v>
      </c>
      <c r="D144" s="36" t="n">
        <v>30</v>
      </c>
      <c r="E144" s="35" t="str">
        <f aca="false">IF($C144="","",IFERROR(INDEX(Insumos_Unidade,MATCH($C144,Insumos_Ingrediente,0)),""))</f>
        <v>g</v>
      </c>
      <c r="F144" s="19" t="n">
        <f aca="false">IFERROR(INDEX(Insumos_CustoUnit,MATCH($C144,Insumos_Ingrediente,0)),0)</f>
        <v>0.02</v>
      </c>
      <c r="G144" s="19" t="n">
        <f aca="false">$D144*$F144</f>
        <v>0.6</v>
      </c>
      <c r="H144" s="37" t="n">
        <f aca="false">IF(OR($E144="g",$E144="ml"),$D144,0)</f>
        <v>30</v>
      </c>
      <c r="I144" s="38" t="n">
        <f aca="false">IF($C144="Açaí",1,0)</f>
        <v>0</v>
      </c>
      <c r="J144" s="38" t="n">
        <f aca="false">IF($C144="Banana",1,0)</f>
        <v>0</v>
      </c>
      <c r="K144" s="38" t="n">
        <f aca="false">IF($C144="Whey Protein",1,0)</f>
        <v>0</v>
      </c>
      <c r="L144" s="38" t="n">
        <f aca="false">IF(ISNUMBER(SEARCH("Copo",$C144)),1,0)</f>
        <v>0</v>
      </c>
    </row>
    <row r="145" customFormat="false" ht="15" hidden="false" customHeight="true" outlineLevel="0" collapsed="false">
      <c r="A145" s="29" t="s">
        <v>191</v>
      </c>
      <c r="B145" s="35" t="str">
        <f aca="false">IF($C145="","",IFERROR(INDEX(Insumos_Categoria,MATCH($C145,Insumos_Ingrediente,0)),""))</f>
        <v>Coberturas (30g)</v>
      </c>
      <c r="C145" s="29" t="s">
        <v>100</v>
      </c>
      <c r="D145" s="36" t="n">
        <v>30</v>
      </c>
      <c r="E145" s="35" t="str">
        <f aca="false">IF($C145="","",IFERROR(INDEX(Insumos_Unidade,MATCH($C145,Insumos_Ingrediente,0)),""))</f>
        <v>g</v>
      </c>
      <c r="F145" s="19" t="n">
        <f aca="false">IFERROR(INDEX(Insumos_CustoUnit,MATCH($C145,Insumos_Ingrediente,0)),0)</f>
        <v>0.00230769230769231</v>
      </c>
      <c r="G145" s="19" t="n">
        <f aca="false">$D145*$F145</f>
        <v>0.0692307692307692</v>
      </c>
      <c r="H145" s="37" t="n">
        <f aca="false">IF(OR($E145="g",$E145="ml"),$D145,0)</f>
        <v>30</v>
      </c>
      <c r="I145" s="38" t="n">
        <f aca="false">IF($C145="Açaí",1,0)</f>
        <v>0</v>
      </c>
      <c r="J145" s="38" t="n">
        <f aca="false">IF($C145="Banana",1,0)</f>
        <v>1</v>
      </c>
      <c r="K145" s="38" t="n">
        <f aca="false">IF($C145="Whey Protein",1,0)</f>
        <v>0</v>
      </c>
      <c r="L145" s="38" t="n">
        <f aca="false">IF(ISNUMBER(SEARCH("Copo",$C145)),1,0)</f>
        <v>0</v>
      </c>
    </row>
    <row r="146" customFormat="false" ht="15" hidden="false" customHeight="true" outlineLevel="0" collapsed="false">
      <c r="A146" s="29" t="s">
        <v>191</v>
      </c>
      <c r="B146" s="35" t="str">
        <f aca="false">IF($C146="","",IFERROR(INDEX(Insumos_Categoria,MATCH($C146,Insumos_Ingrediente,0)),""))</f>
        <v>Embalagens</v>
      </c>
      <c r="C146" s="29" t="s">
        <v>123</v>
      </c>
      <c r="D146" s="36" t="n">
        <v>1</v>
      </c>
      <c r="E146" s="35" t="str">
        <f aca="false">IF($C146="","",IFERROR(INDEX(Insumos_Unidade,MATCH($C146,Insumos_Ingrediente,0)),""))</f>
        <v>un</v>
      </c>
      <c r="F146" s="19" t="n">
        <f aca="false">IFERROR(INDEX(Insumos_CustoUnit,MATCH($C146,Insumos_Ingrediente,0)),0)</f>
        <v>0.15372</v>
      </c>
      <c r="G146" s="19" t="n">
        <f aca="false">$D146*$F146</f>
        <v>0.15372</v>
      </c>
      <c r="H146" s="38" t="n">
        <f aca="false">IF(OR($E146="g",$E146="ml"),$D146,0)</f>
        <v>0</v>
      </c>
      <c r="I146" s="38" t="n">
        <f aca="false">IF($C146="Açaí",1,0)</f>
        <v>0</v>
      </c>
      <c r="J146" s="38" t="n">
        <f aca="false">IF($C146="Banana",1,0)</f>
        <v>0</v>
      </c>
      <c r="K146" s="38" t="n">
        <f aca="false">IF($C146="Whey Protein",1,0)</f>
        <v>0</v>
      </c>
      <c r="L146" s="38" t="n">
        <f aca="false">IF(ISNUMBER(SEARCH("Copo",$C146)),1,0)</f>
        <v>1</v>
      </c>
    </row>
    <row r="147" customFormat="false" ht="15" hidden="false" customHeight="true" outlineLevel="0" collapsed="false">
      <c r="A147" s="29" t="s">
        <v>191</v>
      </c>
      <c r="B147" s="35" t="str">
        <f aca="false">IF($C147="","",IFERROR(INDEX(Insumos_Categoria,MATCH($C147,Insumos_Ingrediente,0)),""))</f>
        <v>Embalagens</v>
      </c>
      <c r="C147" s="29" t="s">
        <v>126</v>
      </c>
      <c r="D147" s="36" t="n">
        <v>1</v>
      </c>
      <c r="E147" s="35" t="str">
        <f aca="false">IF($C147="","",IFERROR(INDEX(Insumos_Unidade,MATCH($C147,Insumos_Ingrediente,0)),""))</f>
        <v>un</v>
      </c>
      <c r="F147" s="19" t="n">
        <f aca="false">IFERROR(INDEX(Insumos_CustoUnit,MATCH($C147,Insumos_Ingrediente,0)),0)</f>
        <v>0.0823</v>
      </c>
      <c r="G147" s="19" t="n">
        <f aca="false">$D147*$F147</f>
        <v>0.0823</v>
      </c>
      <c r="H147" s="38" t="n">
        <f aca="false">IF(OR($E147="g",$E147="ml"),$D147,0)</f>
        <v>0</v>
      </c>
      <c r="I147" s="38" t="n">
        <f aca="false">IF($C147="Açaí",1,0)</f>
        <v>0</v>
      </c>
      <c r="J147" s="38" t="n">
        <f aca="false">IF($C147="Banana",1,0)</f>
        <v>0</v>
      </c>
      <c r="K147" s="38" t="n">
        <f aca="false">IF($C147="Whey Protein",1,0)</f>
        <v>0</v>
      </c>
      <c r="L147" s="38" t="n">
        <f aca="false">IF(ISNUMBER(SEARCH("Copo",$C147)),1,0)</f>
        <v>0</v>
      </c>
    </row>
    <row r="148" customFormat="false" ht="15" hidden="false" customHeight="true" outlineLevel="0" collapsed="false">
      <c r="A148" s="29" t="s">
        <v>191</v>
      </c>
      <c r="B148" s="35" t="str">
        <f aca="false">IF($C148="","",IFERROR(INDEX(Insumos_Categoria,MATCH($C148,Insumos_Ingrediente,0)),""))</f>
        <v>Consumíveis</v>
      </c>
      <c r="C148" s="29" t="s">
        <v>141</v>
      </c>
      <c r="D148" s="36" t="n">
        <v>1</v>
      </c>
      <c r="E148" s="35" t="str">
        <f aca="false">IF($C148="","",IFERROR(INDEX(Insumos_Unidade,MATCH($C148,Insumos_Ingrediente,0)),""))</f>
        <v>un</v>
      </c>
      <c r="F148" s="19" t="n">
        <f aca="false">IFERROR(INDEX(Insumos_CustoUnit,MATCH($C148,Insumos_Ingrediente,0)),0)</f>
        <v>0.0938</v>
      </c>
      <c r="G148" s="19" t="n">
        <f aca="false">$D148*$F148</f>
        <v>0.0938</v>
      </c>
      <c r="H148" s="38" t="n">
        <f aca="false">IF(OR($E148="g",$E148="ml"),$D148,0)</f>
        <v>0</v>
      </c>
      <c r="I148" s="38" t="n">
        <f aca="false">IF($C148="Açaí",1,0)</f>
        <v>0</v>
      </c>
      <c r="J148" s="38" t="n">
        <f aca="false">IF($C148="Banana",1,0)</f>
        <v>0</v>
      </c>
      <c r="K148" s="38" t="n">
        <f aca="false">IF($C148="Whey Protein",1,0)</f>
        <v>0</v>
      </c>
      <c r="L148" s="38" t="n">
        <f aca="false">IF(ISNUMBER(SEARCH("Copo",$C148)),1,0)</f>
        <v>0</v>
      </c>
    </row>
    <row r="149" customFormat="false" ht="15" hidden="false" customHeight="true" outlineLevel="0" collapsed="false">
      <c r="A149" s="29" t="s">
        <v>191</v>
      </c>
      <c r="B149" s="35" t="str">
        <f aca="false">IF($C149="","",IFERROR(INDEX(Insumos_Categoria,MATCH($C149,Insumos_Ingrediente,0)),""))</f>
        <v>Consumíveis</v>
      </c>
      <c r="C149" s="29" t="s">
        <v>143</v>
      </c>
      <c r="D149" s="36" t="n">
        <v>1</v>
      </c>
      <c r="E149" s="35" t="str">
        <f aca="false">IF($C149="","",IFERROR(INDEX(Insumos_Unidade,MATCH($C149,Insumos_Ingrediente,0)),""))</f>
        <v>un</v>
      </c>
      <c r="F149" s="19" t="n">
        <f aca="false">IFERROR(INDEX(Insumos_CustoUnit,MATCH($C149,Insumos_Ingrediente,0)),0)</f>
        <v>0</v>
      </c>
      <c r="G149" s="19" t="n">
        <f aca="false">$D149*$F149</f>
        <v>0</v>
      </c>
      <c r="H149" s="38" t="n">
        <f aca="false">IF(OR($E149="g",$E149="ml"),$D149,0)</f>
        <v>0</v>
      </c>
      <c r="I149" s="38" t="n">
        <f aca="false">IF($C149="Açaí",1,0)</f>
        <v>0</v>
      </c>
      <c r="J149" s="38" t="n">
        <f aca="false">IF($C149="Banana",1,0)</f>
        <v>0</v>
      </c>
      <c r="K149" s="38" t="n">
        <f aca="false">IF($C149="Whey Protein",1,0)</f>
        <v>0</v>
      </c>
      <c r="L149" s="38" t="n">
        <f aca="false">IF(ISNUMBER(SEARCH("Copo",$C149)),1,0)</f>
        <v>0</v>
      </c>
    </row>
    <row r="150" customFormat="false" ht="15" hidden="false" customHeight="true" outlineLevel="0" collapsed="false">
      <c r="A150" s="29" t="s">
        <v>192</v>
      </c>
      <c r="B150" s="35" t="str">
        <f aca="false">IF($C150="","",IFERROR(INDEX(Insumos_Categoria,MATCH($C150,Insumos_Ingrediente,0)),""))</f>
        <v>Bases (Produção Própria)</v>
      </c>
      <c r="C150" s="29" t="s">
        <v>88</v>
      </c>
      <c r="D150" s="36" t="n">
        <v>470</v>
      </c>
      <c r="E150" s="35" t="str">
        <f aca="false">IF($C150="","",IFERROR(INDEX(Insumos_Unidade,MATCH($C150,Insumos_Ingrediente,0)),""))</f>
        <v>ml</v>
      </c>
      <c r="F150" s="19" t="n">
        <f aca="false">IFERROR(INDEX(Insumos_CustoUnit,MATCH($C150,Insumos_Ingrediente,0)),0)</f>
        <v>0.0165</v>
      </c>
      <c r="G150" s="19" t="n">
        <f aca="false">$D150*$F150</f>
        <v>7.755</v>
      </c>
      <c r="H150" s="37" t="n">
        <f aca="false">IF(OR($E150="g",$E150="ml"),$D150,0)</f>
        <v>470</v>
      </c>
      <c r="I150" s="38" t="n">
        <f aca="false">IF($C150="Açaí",1,0)</f>
        <v>1</v>
      </c>
      <c r="J150" s="38" t="n">
        <f aca="false">IF($C150="Banana",1,0)</f>
        <v>0</v>
      </c>
      <c r="K150" s="38" t="n">
        <f aca="false">IF($C150="Whey Protein",1,0)</f>
        <v>0</v>
      </c>
      <c r="L150" s="38" t="n">
        <f aca="false">IF(ISNUMBER(SEARCH("Copo",$C150)),1,0)</f>
        <v>0</v>
      </c>
    </row>
    <row r="151" customFormat="false" ht="15" hidden="false" customHeight="true" outlineLevel="0" collapsed="false">
      <c r="A151" s="29" t="s">
        <v>192</v>
      </c>
      <c r="B151" s="35" t="str">
        <f aca="false">IF($C151="","",IFERROR(INDEX(Insumos_Categoria,MATCH($C151,Insumos_Ingrediente,0)),""))</f>
        <v>Coberturas (30g)</v>
      </c>
      <c r="C151" s="29" t="s">
        <v>101</v>
      </c>
      <c r="D151" s="36" t="n">
        <v>30</v>
      </c>
      <c r="E151" s="35" t="str">
        <f aca="false">IF($C151="","",IFERROR(INDEX(Insumos_Unidade,MATCH($C151,Insumos_Ingrediente,0)),""))</f>
        <v>g</v>
      </c>
      <c r="F151" s="19" t="n">
        <f aca="false">IFERROR(INDEX(Insumos_CustoUnit,MATCH($C151,Insumos_Ingrediente,0)),0)</f>
        <v>0.0165</v>
      </c>
      <c r="G151" s="19" t="n">
        <f aca="false">$D151*$F151</f>
        <v>0.495</v>
      </c>
      <c r="H151" s="37" t="n">
        <f aca="false">IF(OR($E151="g",$E151="ml"),$D151,0)</f>
        <v>30</v>
      </c>
      <c r="I151" s="38" t="n">
        <f aca="false">IF($C151="Açaí",1,0)</f>
        <v>0</v>
      </c>
      <c r="J151" s="38" t="n">
        <f aca="false">IF($C151="Banana",1,0)</f>
        <v>0</v>
      </c>
      <c r="K151" s="38" t="n">
        <f aca="false">IF($C151="Whey Protein",1,0)</f>
        <v>0</v>
      </c>
      <c r="L151" s="38" t="n">
        <f aca="false">IF(ISNUMBER(SEARCH("Copo",$C151)),1,0)</f>
        <v>0</v>
      </c>
    </row>
    <row r="152" customFormat="false" ht="15" hidden="false" customHeight="true" outlineLevel="0" collapsed="false">
      <c r="A152" s="29" t="s">
        <v>192</v>
      </c>
      <c r="B152" s="35" t="str">
        <f aca="false">IF($C152="","",IFERROR(INDEX(Insumos_Categoria,MATCH($C152,Insumos_Ingrediente,0)),""))</f>
        <v>Coberturas (30g)</v>
      </c>
      <c r="C152" s="29" t="s">
        <v>102</v>
      </c>
      <c r="D152" s="36" t="n">
        <v>30</v>
      </c>
      <c r="E152" s="35" t="str">
        <f aca="false">IF($C152="","",IFERROR(INDEX(Insumos_Unidade,MATCH($C152,Insumos_Ingrediente,0)),""))</f>
        <v>g</v>
      </c>
      <c r="F152" s="19" t="n">
        <f aca="false">IFERROR(INDEX(Insumos_CustoUnit,MATCH($C152,Insumos_Ingrediente,0)),0)</f>
        <v>0.02</v>
      </c>
      <c r="G152" s="19" t="n">
        <f aca="false">$D152*$F152</f>
        <v>0.6</v>
      </c>
      <c r="H152" s="37" t="n">
        <f aca="false">IF(OR($E152="g",$E152="ml"),$D152,0)</f>
        <v>30</v>
      </c>
      <c r="I152" s="38" t="n">
        <f aca="false">IF($C152="Açaí",1,0)</f>
        <v>0</v>
      </c>
      <c r="J152" s="38" t="n">
        <f aca="false">IF($C152="Banana",1,0)</f>
        <v>0</v>
      </c>
      <c r="K152" s="38" t="n">
        <f aca="false">IF($C152="Whey Protein",1,0)</f>
        <v>0</v>
      </c>
      <c r="L152" s="38" t="n">
        <f aca="false">IF(ISNUMBER(SEARCH("Copo",$C152)),1,0)</f>
        <v>0</v>
      </c>
    </row>
    <row r="153" customFormat="false" ht="15" hidden="false" customHeight="true" outlineLevel="0" collapsed="false">
      <c r="A153" s="29" t="s">
        <v>192</v>
      </c>
      <c r="B153" s="35" t="str">
        <f aca="false">IF($C153="","",IFERROR(INDEX(Insumos_Categoria,MATCH($C153,Insumos_Ingrediente,0)),""))</f>
        <v>Coberturas (30g)</v>
      </c>
      <c r="C153" s="29" t="s">
        <v>100</v>
      </c>
      <c r="D153" s="36" t="n">
        <v>30</v>
      </c>
      <c r="E153" s="35" t="str">
        <f aca="false">IF($C153="","",IFERROR(INDEX(Insumos_Unidade,MATCH($C153,Insumos_Ingrediente,0)),""))</f>
        <v>g</v>
      </c>
      <c r="F153" s="19" t="n">
        <f aca="false">IFERROR(INDEX(Insumos_CustoUnit,MATCH($C153,Insumos_Ingrediente,0)),0)</f>
        <v>0.00230769230769231</v>
      </c>
      <c r="G153" s="19" t="n">
        <f aca="false">$D153*$F153</f>
        <v>0.0692307692307692</v>
      </c>
      <c r="H153" s="37" t="n">
        <f aca="false">IF(OR($E153="g",$E153="ml"),$D153,0)</f>
        <v>30</v>
      </c>
      <c r="I153" s="38" t="n">
        <f aca="false">IF($C153="Açaí",1,0)</f>
        <v>0</v>
      </c>
      <c r="J153" s="38" t="n">
        <f aca="false">IF($C153="Banana",1,0)</f>
        <v>1</v>
      </c>
      <c r="K153" s="38" t="n">
        <f aca="false">IF($C153="Whey Protein",1,0)</f>
        <v>0</v>
      </c>
      <c r="L153" s="38" t="n">
        <f aca="false">IF(ISNUMBER(SEARCH("Copo",$C153)),1,0)</f>
        <v>0</v>
      </c>
    </row>
    <row r="154" customFormat="false" ht="15" hidden="false" customHeight="true" outlineLevel="0" collapsed="false">
      <c r="A154" s="29" t="s">
        <v>192</v>
      </c>
      <c r="B154" s="35" t="str">
        <f aca="false">IF($C154="","",IFERROR(INDEX(Insumos_Categoria,MATCH($C154,Insumos_Ingrediente,0)),""))</f>
        <v>Embalagens</v>
      </c>
      <c r="C154" s="29" t="s">
        <v>124</v>
      </c>
      <c r="D154" s="36" t="n">
        <v>1</v>
      </c>
      <c r="E154" s="35" t="str">
        <f aca="false">IF($C154="","",IFERROR(INDEX(Insumos_Unidade,MATCH($C154,Insumos_Ingrediente,0)),""))</f>
        <v>un</v>
      </c>
      <c r="F154" s="19" t="n">
        <f aca="false">IFERROR(INDEX(Insumos_CustoUnit,MATCH($C154,Insumos_Ingrediente,0)),0)</f>
        <v>0.24365</v>
      </c>
      <c r="G154" s="19" t="n">
        <f aca="false">$D154*$F154</f>
        <v>0.24365</v>
      </c>
      <c r="H154" s="38" t="n">
        <f aca="false">IF(OR($E154="g",$E154="ml"),$D154,0)</f>
        <v>0</v>
      </c>
      <c r="I154" s="38" t="n">
        <f aca="false">IF($C154="Açaí",1,0)</f>
        <v>0</v>
      </c>
      <c r="J154" s="38" t="n">
        <f aca="false">IF($C154="Banana",1,0)</f>
        <v>0</v>
      </c>
      <c r="K154" s="38" t="n">
        <f aca="false">IF($C154="Whey Protein",1,0)</f>
        <v>0</v>
      </c>
      <c r="L154" s="38" t="n">
        <f aca="false">IF(ISNUMBER(SEARCH("Copo",$C154)),1,0)</f>
        <v>1</v>
      </c>
    </row>
    <row r="155" customFormat="false" ht="15" hidden="false" customHeight="true" outlineLevel="0" collapsed="false">
      <c r="A155" s="29" t="s">
        <v>192</v>
      </c>
      <c r="B155" s="35" t="str">
        <f aca="false">IF($C155="","",IFERROR(INDEX(Insumos_Categoria,MATCH($C155,Insumos_Ingrediente,0)),""))</f>
        <v>Embalagens</v>
      </c>
      <c r="C155" s="29" t="s">
        <v>127</v>
      </c>
      <c r="D155" s="36" t="n">
        <v>1</v>
      </c>
      <c r="E155" s="35" t="str">
        <f aca="false">IF($C155="","",IFERROR(INDEX(Insumos_Unidade,MATCH($C155,Insumos_Ingrediente,0)),""))</f>
        <v>un</v>
      </c>
      <c r="F155" s="19" t="n">
        <f aca="false">IFERROR(INDEX(Insumos_CustoUnit,MATCH($C155,Insumos_Ingrediente,0)),0)</f>
        <v>0.0923</v>
      </c>
      <c r="G155" s="19" t="n">
        <f aca="false">$D155*$F155</f>
        <v>0.0923</v>
      </c>
      <c r="H155" s="38" t="n">
        <f aca="false">IF(OR($E155="g",$E155="ml"),$D155,0)</f>
        <v>0</v>
      </c>
      <c r="I155" s="38" t="n">
        <f aca="false">IF($C155="Açaí",1,0)</f>
        <v>0</v>
      </c>
      <c r="J155" s="38" t="n">
        <f aca="false">IF($C155="Banana",1,0)</f>
        <v>0</v>
      </c>
      <c r="K155" s="38" t="n">
        <f aca="false">IF($C155="Whey Protein",1,0)</f>
        <v>0</v>
      </c>
      <c r="L155" s="38" t="n">
        <f aca="false">IF(ISNUMBER(SEARCH("Copo",$C155)),1,0)</f>
        <v>0</v>
      </c>
    </row>
    <row r="156" customFormat="false" ht="15" hidden="false" customHeight="true" outlineLevel="0" collapsed="false">
      <c r="A156" s="29" t="s">
        <v>192</v>
      </c>
      <c r="B156" s="35" t="str">
        <f aca="false">IF($C156="","",IFERROR(INDEX(Insumos_Categoria,MATCH($C156,Insumos_Ingrediente,0)),""))</f>
        <v>Consumíveis</v>
      </c>
      <c r="C156" s="29" t="s">
        <v>141</v>
      </c>
      <c r="D156" s="36" t="n">
        <v>1</v>
      </c>
      <c r="E156" s="35" t="str">
        <f aca="false">IF($C156="","",IFERROR(INDEX(Insumos_Unidade,MATCH($C156,Insumos_Ingrediente,0)),""))</f>
        <v>un</v>
      </c>
      <c r="F156" s="19" t="n">
        <f aca="false">IFERROR(INDEX(Insumos_CustoUnit,MATCH($C156,Insumos_Ingrediente,0)),0)</f>
        <v>0.0938</v>
      </c>
      <c r="G156" s="19" t="n">
        <f aca="false">$D156*$F156</f>
        <v>0.0938</v>
      </c>
      <c r="H156" s="38" t="n">
        <f aca="false">IF(OR($E156="g",$E156="ml"),$D156,0)</f>
        <v>0</v>
      </c>
      <c r="I156" s="38" t="n">
        <f aca="false">IF($C156="Açaí",1,0)</f>
        <v>0</v>
      </c>
      <c r="J156" s="38" t="n">
        <f aca="false">IF($C156="Banana",1,0)</f>
        <v>0</v>
      </c>
      <c r="K156" s="38" t="n">
        <f aca="false">IF($C156="Whey Protein",1,0)</f>
        <v>0</v>
      </c>
      <c r="L156" s="38" t="n">
        <f aca="false">IF(ISNUMBER(SEARCH("Copo",$C156)),1,0)</f>
        <v>0</v>
      </c>
    </row>
    <row r="157" customFormat="false" ht="15" hidden="false" customHeight="true" outlineLevel="0" collapsed="false">
      <c r="A157" s="29" t="s">
        <v>192</v>
      </c>
      <c r="B157" s="35" t="str">
        <f aca="false">IF($C157="","",IFERROR(INDEX(Insumos_Categoria,MATCH($C157,Insumos_Ingrediente,0)),""))</f>
        <v>Consumíveis</v>
      </c>
      <c r="C157" s="29" t="s">
        <v>143</v>
      </c>
      <c r="D157" s="36" t="n">
        <v>1</v>
      </c>
      <c r="E157" s="35" t="str">
        <f aca="false">IF($C157="","",IFERROR(INDEX(Insumos_Unidade,MATCH($C157,Insumos_Ingrediente,0)),""))</f>
        <v>un</v>
      </c>
      <c r="F157" s="19" t="n">
        <f aca="false">IFERROR(INDEX(Insumos_CustoUnit,MATCH($C157,Insumos_Ingrediente,0)),0)</f>
        <v>0</v>
      </c>
      <c r="G157" s="19" t="n">
        <f aca="false">$D157*$F157</f>
        <v>0</v>
      </c>
      <c r="H157" s="38" t="n">
        <f aca="false">IF(OR($E157="g",$E157="ml"),$D157,0)</f>
        <v>0</v>
      </c>
      <c r="I157" s="38" t="n">
        <f aca="false">IF($C157="Açaí",1,0)</f>
        <v>0</v>
      </c>
      <c r="J157" s="38" t="n">
        <f aca="false">IF($C157="Banana",1,0)</f>
        <v>0</v>
      </c>
      <c r="K157" s="38" t="n">
        <f aca="false">IF($C157="Whey Protein",1,0)</f>
        <v>0</v>
      </c>
      <c r="L157" s="38" t="n">
        <f aca="false">IF(ISNUMBER(SEARCH("Copo",$C157)),1,0)</f>
        <v>0</v>
      </c>
    </row>
    <row r="158" customFormat="false" ht="15" hidden="false" customHeight="true" outlineLevel="0" collapsed="false">
      <c r="A158" s="29" t="s">
        <v>193</v>
      </c>
      <c r="B158" s="35" t="str">
        <f aca="false">IF($C158="","",IFERROR(INDEX(Insumos_Categoria,MATCH($C158,Insumos_Ingrediente,0)),""))</f>
        <v>Bases (Produção Própria)</v>
      </c>
      <c r="C158" s="29" t="s">
        <v>88</v>
      </c>
      <c r="D158" s="36" t="n">
        <v>170</v>
      </c>
      <c r="E158" s="35" t="str">
        <f aca="false">IF($C158="","",IFERROR(INDEX(Insumos_Unidade,MATCH($C158,Insumos_Ingrediente,0)),""))</f>
        <v>ml</v>
      </c>
      <c r="F158" s="19" t="n">
        <f aca="false">IFERROR(INDEX(Insumos_CustoUnit,MATCH($C158,Insumos_Ingrediente,0)),0)</f>
        <v>0.0165</v>
      </c>
      <c r="G158" s="19" t="n">
        <f aca="false">$D158*$F158</f>
        <v>2.805</v>
      </c>
      <c r="H158" s="37" t="n">
        <f aca="false">IF(OR($E158="g",$E158="ml"),$D158,0)</f>
        <v>170</v>
      </c>
      <c r="I158" s="38" t="n">
        <f aca="false">IF($C158="Açaí",1,0)</f>
        <v>1</v>
      </c>
      <c r="J158" s="38" t="n">
        <f aca="false">IF($C158="Banana",1,0)</f>
        <v>0</v>
      </c>
      <c r="K158" s="38" t="n">
        <f aca="false">IF($C158="Whey Protein",1,0)</f>
        <v>0</v>
      </c>
      <c r="L158" s="38" t="n">
        <f aca="false">IF(ISNUMBER(SEARCH("Copo",$C158)),1,0)</f>
        <v>0</v>
      </c>
    </row>
    <row r="159" customFormat="false" ht="15" hidden="false" customHeight="true" outlineLevel="0" collapsed="false">
      <c r="A159" s="29" t="s">
        <v>193</v>
      </c>
      <c r="B159" s="35" t="str">
        <f aca="false">IF($C159="","",IFERROR(INDEX(Insumos_Categoria,MATCH($C159,Insumos_Ingrediente,0)),""))</f>
        <v>Coberturas (30g)</v>
      </c>
      <c r="C159" s="29" t="s">
        <v>100</v>
      </c>
      <c r="D159" s="36" t="n">
        <v>30</v>
      </c>
      <c r="E159" s="35" t="str">
        <f aca="false">IF($C159="","",IFERROR(INDEX(Insumos_Unidade,MATCH($C159,Insumos_Ingrediente,0)),""))</f>
        <v>g</v>
      </c>
      <c r="F159" s="19" t="n">
        <f aca="false">IFERROR(INDEX(Insumos_CustoUnit,MATCH($C159,Insumos_Ingrediente,0)),0)</f>
        <v>0.00230769230769231</v>
      </c>
      <c r="G159" s="19" t="n">
        <f aca="false">$D159*$F159</f>
        <v>0.0692307692307692</v>
      </c>
      <c r="H159" s="37" t="n">
        <f aca="false">IF(OR($E159="g",$E159="ml"),$D159,0)</f>
        <v>30</v>
      </c>
      <c r="I159" s="38" t="n">
        <f aca="false">IF($C159="Açaí",1,0)</f>
        <v>0</v>
      </c>
      <c r="J159" s="38" t="n">
        <f aca="false">IF($C159="Banana",1,0)</f>
        <v>1</v>
      </c>
      <c r="K159" s="38" t="n">
        <f aca="false">IF($C159="Whey Protein",1,0)</f>
        <v>0</v>
      </c>
      <c r="L159" s="38" t="n">
        <f aca="false">IF(ISNUMBER(SEARCH("Copo",$C159)),1,0)</f>
        <v>0</v>
      </c>
    </row>
    <row r="160" customFormat="false" ht="15" hidden="false" customHeight="true" outlineLevel="0" collapsed="false">
      <c r="A160" s="29" t="s">
        <v>193</v>
      </c>
      <c r="B160" s="35" t="str">
        <f aca="false">IF($C160="","",IFERROR(INDEX(Insumos_Categoria,MATCH($C160,Insumos_Ingrediente,0)),""))</f>
        <v>Coberturas (30g)</v>
      </c>
      <c r="C160" s="29" t="s">
        <v>102</v>
      </c>
      <c r="D160" s="36" t="n">
        <v>30</v>
      </c>
      <c r="E160" s="35" t="str">
        <f aca="false">IF($C160="","",IFERROR(INDEX(Insumos_Unidade,MATCH($C160,Insumos_Ingrediente,0)),""))</f>
        <v>g</v>
      </c>
      <c r="F160" s="19" t="n">
        <f aca="false">IFERROR(INDEX(Insumos_CustoUnit,MATCH($C160,Insumos_Ingrediente,0)),0)</f>
        <v>0.02</v>
      </c>
      <c r="G160" s="19" t="n">
        <f aca="false">$D160*$F160</f>
        <v>0.6</v>
      </c>
      <c r="H160" s="37" t="n">
        <f aca="false">IF(OR($E160="g",$E160="ml"),$D160,0)</f>
        <v>30</v>
      </c>
      <c r="I160" s="38" t="n">
        <f aca="false">IF($C160="Açaí",1,0)</f>
        <v>0</v>
      </c>
      <c r="J160" s="38" t="n">
        <f aca="false">IF($C160="Banana",1,0)</f>
        <v>0</v>
      </c>
      <c r="K160" s="38" t="n">
        <f aca="false">IF($C160="Whey Protein",1,0)</f>
        <v>0</v>
      </c>
      <c r="L160" s="38" t="n">
        <f aca="false">IF(ISNUMBER(SEARCH("Copo",$C160)),1,0)</f>
        <v>0</v>
      </c>
    </row>
    <row r="161" customFormat="false" ht="15" hidden="false" customHeight="true" outlineLevel="0" collapsed="false">
      <c r="A161" s="29" t="s">
        <v>193</v>
      </c>
      <c r="B161" s="35" t="str">
        <f aca="false">IF($C161="","",IFERROR(INDEX(Insumos_Categoria,MATCH($C161,Insumos_Ingrediente,0)),""))</f>
        <v>Coberturas (30g)</v>
      </c>
      <c r="C161" s="29" t="s">
        <v>104</v>
      </c>
      <c r="D161" s="36" t="n">
        <v>30</v>
      </c>
      <c r="E161" s="35" t="str">
        <f aca="false">IF($C161="","",IFERROR(INDEX(Insumos_Unidade,MATCH($C161,Insumos_Ingrediente,0)),""))</f>
        <v>g</v>
      </c>
      <c r="F161" s="19" t="n">
        <f aca="false">IFERROR(INDEX(Insumos_CustoUnit,MATCH($C161,Insumos_Ingrediente,0)),0)</f>
        <v>0.02233</v>
      </c>
      <c r="G161" s="19" t="n">
        <f aca="false">$D161*$F161</f>
        <v>0.6699</v>
      </c>
      <c r="H161" s="37" t="n">
        <f aca="false">IF(OR($E161="g",$E161="ml"),$D161,0)</f>
        <v>30</v>
      </c>
      <c r="I161" s="38" t="n">
        <f aca="false">IF($C161="Açaí",1,0)</f>
        <v>0</v>
      </c>
      <c r="J161" s="38" t="n">
        <f aca="false">IF($C161="Banana",1,0)</f>
        <v>0</v>
      </c>
      <c r="K161" s="38" t="n">
        <f aca="false">IF($C161="Whey Protein",1,0)</f>
        <v>0</v>
      </c>
      <c r="L161" s="38" t="n">
        <f aca="false">IF(ISNUMBER(SEARCH("Copo",$C161)),1,0)</f>
        <v>0</v>
      </c>
    </row>
    <row r="162" customFormat="false" ht="15" hidden="false" customHeight="true" outlineLevel="0" collapsed="false">
      <c r="A162" s="29" t="s">
        <v>193</v>
      </c>
      <c r="B162" s="35" t="str">
        <f aca="false">IF($C162="","",IFERROR(INDEX(Insumos_Categoria,MATCH($C162,Insumos_Ingrediente,0)),""))</f>
        <v>Embalagens</v>
      </c>
      <c r="C162" s="29" t="s">
        <v>120</v>
      </c>
      <c r="D162" s="36" t="n">
        <v>1</v>
      </c>
      <c r="E162" s="35" t="str">
        <f aca="false">IF($C162="","",IFERROR(INDEX(Insumos_Unidade,MATCH($C162,Insumos_Ingrediente,0)),""))</f>
        <v>un</v>
      </c>
      <c r="F162" s="19" t="n">
        <f aca="false">IFERROR(INDEX(Insumos_CustoUnit,MATCH($C162,Insumos_Ingrediente,0)),0)</f>
        <v>0.1668</v>
      </c>
      <c r="G162" s="19" t="n">
        <f aca="false">$D162*$F162</f>
        <v>0.1668</v>
      </c>
      <c r="H162" s="38" t="n">
        <f aca="false">IF(OR($E162="g",$E162="ml"),$D162,0)</f>
        <v>0</v>
      </c>
      <c r="I162" s="38" t="n">
        <f aca="false">IF($C162="Açaí",1,0)</f>
        <v>0</v>
      </c>
      <c r="J162" s="38" t="n">
        <f aca="false">IF($C162="Banana",1,0)</f>
        <v>0</v>
      </c>
      <c r="K162" s="38" t="n">
        <f aca="false">IF($C162="Whey Protein",1,0)</f>
        <v>0</v>
      </c>
      <c r="L162" s="38" t="n">
        <f aca="false">IF(ISNUMBER(SEARCH("Copo",$C162)),1,0)</f>
        <v>1</v>
      </c>
    </row>
    <row r="163" customFormat="false" ht="15" hidden="false" customHeight="true" outlineLevel="0" collapsed="false">
      <c r="A163" s="29" t="s">
        <v>193</v>
      </c>
      <c r="B163" s="35" t="str">
        <f aca="false">IF($C163="","",IFERROR(INDEX(Insumos_Categoria,MATCH($C163,Insumos_Ingrediente,0)),""))</f>
        <v>Embalagens</v>
      </c>
      <c r="C163" s="29" t="s">
        <v>125</v>
      </c>
      <c r="D163" s="36" t="n">
        <v>1</v>
      </c>
      <c r="E163" s="35" t="str">
        <f aca="false">IF($C163="","",IFERROR(INDEX(Insumos_Unidade,MATCH($C163,Insumos_Ingrediente,0)),""))</f>
        <v>un</v>
      </c>
      <c r="F163" s="19" t="n">
        <f aca="false">IFERROR(INDEX(Insumos_CustoUnit,MATCH($C163,Insumos_Ingrediente,0)),0)</f>
        <v>0.0823</v>
      </c>
      <c r="G163" s="19" t="n">
        <f aca="false">$D163*$F163</f>
        <v>0.0823</v>
      </c>
      <c r="H163" s="38" t="n">
        <f aca="false">IF(OR($E163="g",$E163="ml"),$D163,0)</f>
        <v>0</v>
      </c>
      <c r="I163" s="38" t="n">
        <f aca="false">IF($C163="Açaí",1,0)</f>
        <v>0</v>
      </c>
      <c r="J163" s="38" t="n">
        <f aca="false">IF($C163="Banana",1,0)</f>
        <v>0</v>
      </c>
      <c r="K163" s="38" t="n">
        <f aca="false">IF($C163="Whey Protein",1,0)</f>
        <v>0</v>
      </c>
      <c r="L163" s="38" t="n">
        <f aca="false">IF(ISNUMBER(SEARCH("Copo",$C163)),1,0)</f>
        <v>0</v>
      </c>
    </row>
    <row r="164" customFormat="false" ht="15" hidden="false" customHeight="true" outlineLevel="0" collapsed="false">
      <c r="A164" s="29" t="s">
        <v>193</v>
      </c>
      <c r="B164" s="35" t="str">
        <f aca="false">IF($C164="","",IFERROR(INDEX(Insumos_Categoria,MATCH($C164,Insumos_Ingrediente,0)),""))</f>
        <v>Consumíveis</v>
      </c>
      <c r="C164" s="29" t="s">
        <v>141</v>
      </c>
      <c r="D164" s="36" t="n">
        <v>1</v>
      </c>
      <c r="E164" s="35" t="str">
        <f aca="false">IF($C164="","",IFERROR(INDEX(Insumos_Unidade,MATCH($C164,Insumos_Ingrediente,0)),""))</f>
        <v>un</v>
      </c>
      <c r="F164" s="19" t="n">
        <f aca="false">IFERROR(INDEX(Insumos_CustoUnit,MATCH($C164,Insumos_Ingrediente,0)),0)</f>
        <v>0.0938</v>
      </c>
      <c r="G164" s="19" t="n">
        <f aca="false">$D164*$F164</f>
        <v>0.0938</v>
      </c>
      <c r="H164" s="38" t="n">
        <f aca="false">IF(OR($E164="g",$E164="ml"),$D164,0)</f>
        <v>0</v>
      </c>
      <c r="I164" s="38" t="n">
        <f aca="false">IF($C164="Açaí",1,0)</f>
        <v>0</v>
      </c>
      <c r="J164" s="38" t="n">
        <f aca="false">IF($C164="Banana",1,0)</f>
        <v>0</v>
      </c>
      <c r="K164" s="38" t="n">
        <f aca="false">IF($C164="Whey Protein",1,0)</f>
        <v>0</v>
      </c>
      <c r="L164" s="38" t="n">
        <f aca="false">IF(ISNUMBER(SEARCH("Copo",$C164)),1,0)</f>
        <v>0</v>
      </c>
    </row>
    <row r="165" customFormat="false" ht="15" hidden="false" customHeight="true" outlineLevel="0" collapsed="false">
      <c r="A165" s="29" t="s">
        <v>193</v>
      </c>
      <c r="B165" s="35" t="str">
        <f aca="false">IF($C165="","",IFERROR(INDEX(Insumos_Categoria,MATCH($C165,Insumos_Ingrediente,0)),""))</f>
        <v>Consumíveis</v>
      </c>
      <c r="C165" s="29" t="s">
        <v>143</v>
      </c>
      <c r="D165" s="36" t="n">
        <v>1</v>
      </c>
      <c r="E165" s="35" t="str">
        <f aca="false">IF($C165="","",IFERROR(INDEX(Insumos_Unidade,MATCH($C165,Insumos_Ingrediente,0)),""))</f>
        <v>un</v>
      </c>
      <c r="F165" s="19" t="n">
        <f aca="false">IFERROR(INDEX(Insumos_CustoUnit,MATCH($C165,Insumos_Ingrediente,0)),0)</f>
        <v>0</v>
      </c>
      <c r="G165" s="19" t="n">
        <f aca="false">$D165*$F165</f>
        <v>0</v>
      </c>
      <c r="H165" s="38" t="n">
        <f aca="false">IF(OR($E165="g",$E165="ml"),$D165,0)</f>
        <v>0</v>
      </c>
      <c r="I165" s="38" t="n">
        <f aca="false">IF($C165="Açaí",1,0)</f>
        <v>0</v>
      </c>
      <c r="J165" s="38" t="n">
        <f aca="false">IF($C165="Banana",1,0)</f>
        <v>0</v>
      </c>
      <c r="K165" s="38" t="n">
        <f aca="false">IF($C165="Whey Protein",1,0)</f>
        <v>0</v>
      </c>
      <c r="L165" s="38" t="n">
        <f aca="false">IF(ISNUMBER(SEARCH("Copo",$C165)),1,0)</f>
        <v>0</v>
      </c>
    </row>
    <row r="166" customFormat="false" ht="15" hidden="false" customHeight="true" outlineLevel="0" collapsed="false">
      <c r="A166" s="29" t="s">
        <v>194</v>
      </c>
      <c r="B166" s="35" t="str">
        <f aca="false">IF($C166="","",IFERROR(INDEX(Insumos_Categoria,MATCH($C166,Insumos_Ingrediente,0)),""))</f>
        <v>Bases (Produção Própria)</v>
      </c>
      <c r="C166" s="29" t="s">
        <v>88</v>
      </c>
      <c r="D166" s="36" t="n">
        <v>270</v>
      </c>
      <c r="E166" s="35" t="str">
        <f aca="false">IF($C166="","",IFERROR(INDEX(Insumos_Unidade,MATCH($C166,Insumos_Ingrediente,0)),""))</f>
        <v>ml</v>
      </c>
      <c r="F166" s="19" t="n">
        <f aca="false">IFERROR(INDEX(Insumos_CustoUnit,MATCH($C166,Insumos_Ingrediente,0)),0)</f>
        <v>0.0165</v>
      </c>
      <c r="G166" s="19" t="n">
        <f aca="false">$D166*$F166</f>
        <v>4.455</v>
      </c>
      <c r="H166" s="37" t="n">
        <f aca="false">IF(OR($E166="g",$E166="ml"),$D166,0)</f>
        <v>270</v>
      </c>
      <c r="I166" s="38" t="n">
        <f aca="false">IF($C166="Açaí",1,0)</f>
        <v>1</v>
      </c>
      <c r="J166" s="38" t="n">
        <f aca="false">IF($C166="Banana",1,0)</f>
        <v>0</v>
      </c>
      <c r="K166" s="38" t="n">
        <f aca="false">IF($C166="Whey Protein",1,0)</f>
        <v>0</v>
      </c>
      <c r="L166" s="38" t="n">
        <f aca="false">IF(ISNUMBER(SEARCH("Copo",$C166)),1,0)</f>
        <v>0</v>
      </c>
    </row>
    <row r="167" customFormat="false" ht="15" hidden="false" customHeight="true" outlineLevel="0" collapsed="false">
      <c r="A167" s="29" t="s">
        <v>194</v>
      </c>
      <c r="B167" s="35" t="str">
        <f aca="false">IF($C167="","",IFERROR(INDEX(Insumos_Categoria,MATCH($C167,Insumos_Ingrediente,0)),""))</f>
        <v>Coberturas (30g)</v>
      </c>
      <c r="C167" s="29" t="s">
        <v>100</v>
      </c>
      <c r="D167" s="36" t="n">
        <v>30</v>
      </c>
      <c r="E167" s="35" t="str">
        <f aca="false">IF($C167="","",IFERROR(INDEX(Insumos_Unidade,MATCH($C167,Insumos_Ingrediente,0)),""))</f>
        <v>g</v>
      </c>
      <c r="F167" s="19" t="n">
        <f aca="false">IFERROR(INDEX(Insumos_CustoUnit,MATCH($C167,Insumos_Ingrediente,0)),0)</f>
        <v>0.00230769230769231</v>
      </c>
      <c r="G167" s="19" t="n">
        <f aca="false">$D167*$F167</f>
        <v>0.0692307692307692</v>
      </c>
      <c r="H167" s="37" t="n">
        <f aca="false">IF(OR($E167="g",$E167="ml"),$D167,0)</f>
        <v>30</v>
      </c>
      <c r="I167" s="38" t="n">
        <f aca="false">IF($C167="Açaí",1,0)</f>
        <v>0</v>
      </c>
      <c r="J167" s="38" t="n">
        <f aca="false">IF($C167="Banana",1,0)</f>
        <v>1</v>
      </c>
      <c r="K167" s="38" t="n">
        <f aca="false">IF($C167="Whey Protein",1,0)</f>
        <v>0</v>
      </c>
      <c r="L167" s="38" t="n">
        <f aca="false">IF(ISNUMBER(SEARCH("Copo",$C167)),1,0)</f>
        <v>0</v>
      </c>
    </row>
    <row r="168" customFormat="false" ht="15" hidden="false" customHeight="true" outlineLevel="0" collapsed="false">
      <c r="A168" s="29" t="s">
        <v>194</v>
      </c>
      <c r="B168" s="35" t="str">
        <f aca="false">IF($C168="","",IFERROR(INDEX(Insumos_Categoria,MATCH($C168,Insumos_Ingrediente,0)),""))</f>
        <v>Coberturas (30g)</v>
      </c>
      <c r="C168" s="29" t="s">
        <v>102</v>
      </c>
      <c r="D168" s="36" t="n">
        <v>30</v>
      </c>
      <c r="E168" s="35" t="str">
        <f aca="false">IF($C168="","",IFERROR(INDEX(Insumos_Unidade,MATCH($C168,Insumos_Ingrediente,0)),""))</f>
        <v>g</v>
      </c>
      <c r="F168" s="19" t="n">
        <f aca="false">IFERROR(INDEX(Insumos_CustoUnit,MATCH($C168,Insumos_Ingrediente,0)),0)</f>
        <v>0.02</v>
      </c>
      <c r="G168" s="19" t="n">
        <f aca="false">$D168*$F168</f>
        <v>0.6</v>
      </c>
      <c r="H168" s="37" t="n">
        <f aca="false">IF(OR($E168="g",$E168="ml"),$D168,0)</f>
        <v>30</v>
      </c>
      <c r="I168" s="38" t="n">
        <f aca="false">IF($C168="Açaí",1,0)</f>
        <v>0</v>
      </c>
      <c r="J168" s="38" t="n">
        <f aca="false">IF($C168="Banana",1,0)</f>
        <v>0</v>
      </c>
      <c r="K168" s="38" t="n">
        <f aca="false">IF($C168="Whey Protein",1,0)</f>
        <v>0</v>
      </c>
      <c r="L168" s="38" t="n">
        <f aca="false">IF(ISNUMBER(SEARCH("Copo",$C168)),1,0)</f>
        <v>0</v>
      </c>
    </row>
    <row r="169" customFormat="false" ht="15" hidden="false" customHeight="true" outlineLevel="0" collapsed="false">
      <c r="A169" s="29" t="s">
        <v>194</v>
      </c>
      <c r="B169" s="35" t="str">
        <f aca="false">IF($C169="","",IFERROR(INDEX(Insumos_Categoria,MATCH($C169,Insumos_Ingrediente,0)),""))</f>
        <v>Coberturas (30g)</v>
      </c>
      <c r="C169" s="29" t="s">
        <v>104</v>
      </c>
      <c r="D169" s="36" t="n">
        <v>30</v>
      </c>
      <c r="E169" s="35" t="str">
        <f aca="false">IF($C169="","",IFERROR(INDEX(Insumos_Unidade,MATCH($C169,Insumos_Ingrediente,0)),""))</f>
        <v>g</v>
      </c>
      <c r="F169" s="19" t="n">
        <f aca="false">IFERROR(INDEX(Insumos_CustoUnit,MATCH($C169,Insumos_Ingrediente,0)),0)</f>
        <v>0.02233</v>
      </c>
      <c r="G169" s="19" t="n">
        <f aca="false">$D169*$F169</f>
        <v>0.6699</v>
      </c>
      <c r="H169" s="37" t="n">
        <f aca="false">IF(OR($E169="g",$E169="ml"),$D169,0)</f>
        <v>30</v>
      </c>
      <c r="I169" s="38" t="n">
        <f aca="false">IF($C169="Açaí",1,0)</f>
        <v>0</v>
      </c>
      <c r="J169" s="38" t="n">
        <f aca="false">IF($C169="Banana",1,0)</f>
        <v>0</v>
      </c>
      <c r="K169" s="38" t="n">
        <f aca="false">IF($C169="Whey Protein",1,0)</f>
        <v>0</v>
      </c>
      <c r="L169" s="38" t="n">
        <f aca="false">IF(ISNUMBER(SEARCH("Copo",$C169)),1,0)</f>
        <v>0</v>
      </c>
    </row>
    <row r="170" customFormat="false" ht="15" hidden="false" customHeight="true" outlineLevel="0" collapsed="false">
      <c r="A170" s="29" t="s">
        <v>194</v>
      </c>
      <c r="B170" s="35" t="str">
        <f aca="false">IF($C170="","",IFERROR(INDEX(Insumos_Categoria,MATCH($C170,Insumos_Ingrediente,0)),""))</f>
        <v>Embalagens</v>
      </c>
      <c r="C170" s="29" t="s">
        <v>123</v>
      </c>
      <c r="D170" s="36" t="n">
        <v>1</v>
      </c>
      <c r="E170" s="35" t="str">
        <f aca="false">IF($C170="","",IFERROR(INDEX(Insumos_Unidade,MATCH($C170,Insumos_Ingrediente,0)),""))</f>
        <v>un</v>
      </c>
      <c r="F170" s="19" t="n">
        <f aca="false">IFERROR(INDEX(Insumos_CustoUnit,MATCH($C170,Insumos_Ingrediente,0)),0)</f>
        <v>0.15372</v>
      </c>
      <c r="G170" s="19" t="n">
        <f aca="false">$D170*$F170</f>
        <v>0.15372</v>
      </c>
      <c r="H170" s="38" t="n">
        <f aca="false">IF(OR($E170="g",$E170="ml"),$D170,0)</f>
        <v>0</v>
      </c>
      <c r="I170" s="38" t="n">
        <f aca="false">IF($C170="Açaí",1,0)</f>
        <v>0</v>
      </c>
      <c r="J170" s="38" t="n">
        <f aca="false">IF($C170="Banana",1,0)</f>
        <v>0</v>
      </c>
      <c r="K170" s="38" t="n">
        <f aca="false">IF($C170="Whey Protein",1,0)</f>
        <v>0</v>
      </c>
      <c r="L170" s="38" t="n">
        <f aca="false">IF(ISNUMBER(SEARCH("Copo",$C170)),1,0)</f>
        <v>1</v>
      </c>
    </row>
    <row r="171" customFormat="false" ht="15" hidden="false" customHeight="true" outlineLevel="0" collapsed="false">
      <c r="A171" s="29" t="s">
        <v>194</v>
      </c>
      <c r="B171" s="35" t="str">
        <f aca="false">IF($C171="","",IFERROR(INDEX(Insumos_Categoria,MATCH($C171,Insumos_Ingrediente,0)),""))</f>
        <v>Embalagens</v>
      </c>
      <c r="C171" s="29" t="s">
        <v>126</v>
      </c>
      <c r="D171" s="36" t="n">
        <v>1</v>
      </c>
      <c r="E171" s="35" t="str">
        <f aca="false">IF($C171="","",IFERROR(INDEX(Insumos_Unidade,MATCH($C171,Insumos_Ingrediente,0)),""))</f>
        <v>un</v>
      </c>
      <c r="F171" s="19" t="n">
        <f aca="false">IFERROR(INDEX(Insumos_CustoUnit,MATCH($C171,Insumos_Ingrediente,0)),0)</f>
        <v>0.0823</v>
      </c>
      <c r="G171" s="19" t="n">
        <f aca="false">$D171*$F171</f>
        <v>0.0823</v>
      </c>
      <c r="H171" s="38" t="n">
        <f aca="false">IF(OR($E171="g",$E171="ml"),$D171,0)</f>
        <v>0</v>
      </c>
      <c r="I171" s="38" t="n">
        <f aca="false">IF($C171="Açaí",1,0)</f>
        <v>0</v>
      </c>
      <c r="J171" s="38" t="n">
        <f aca="false">IF($C171="Banana",1,0)</f>
        <v>0</v>
      </c>
      <c r="K171" s="38" t="n">
        <f aca="false">IF($C171="Whey Protein",1,0)</f>
        <v>0</v>
      </c>
      <c r="L171" s="38" t="n">
        <f aca="false">IF(ISNUMBER(SEARCH("Copo",$C171)),1,0)</f>
        <v>0</v>
      </c>
    </row>
    <row r="172" customFormat="false" ht="15" hidden="false" customHeight="true" outlineLevel="0" collapsed="false">
      <c r="A172" s="29" t="s">
        <v>194</v>
      </c>
      <c r="B172" s="35" t="str">
        <f aca="false">IF($C172="","",IFERROR(INDEX(Insumos_Categoria,MATCH($C172,Insumos_Ingrediente,0)),""))</f>
        <v>Consumíveis</v>
      </c>
      <c r="C172" s="29" t="s">
        <v>141</v>
      </c>
      <c r="D172" s="36" t="n">
        <v>1</v>
      </c>
      <c r="E172" s="35" t="str">
        <f aca="false">IF($C172="","",IFERROR(INDEX(Insumos_Unidade,MATCH($C172,Insumos_Ingrediente,0)),""))</f>
        <v>un</v>
      </c>
      <c r="F172" s="19" t="n">
        <f aca="false">IFERROR(INDEX(Insumos_CustoUnit,MATCH($C172,Insumos_Ingrediente,0)),0)</f>
        <v>0.0938</v>
      </c>
      <c r="G172" s="19" t="n">
        <f aca="false">$D172*$F172</f>
        <v>0.0938</v>
      </c>
      <c r="H172" s="38" t="n">
        <f aca="false">IF(OR($E172="g",$E172="ml"),$D172,0)</f>
        <v>0</v>
      </c>
      <c r="I172" s="38" t="n">
        <f aca="false">IF($C172="Açaí",1,0)</f>
        <v>0</v>
      </c>
      <c r="J172" s="38" t="n">
        <f aca="false">IF($C172="Banana",1,0)</f>
        <v>0</v>
      </c>
      <c r="K172" s="38" t="n">
        <f aca="false">IF($C172="Whey Protein",1,0)</f>
        <v>0</v>
      </c>
      <c r="L172" s="38" t="n">
        <f aca="false">IF(ISNUMBER(SEARCH("Copo",$C172)),1,0)</f>
        <v>0</v>
      </c>
    </row>
    <row r="173" customFormat="false" ht="15" hidden="false" customHeight="true" outlineLevel="0" collapsed="false">
      <c r="A173" s="29" t="s">
        <v>194</v>
      </c>
      <c r="B173" s="35" t="str">
        <f aca="false">IF($C173="","",IFERROR(INDEX(Insumos_Categoria,MATCH($C173,Insumos_Ingrediente,0)),""))</f>
        <v>Consumíveis</v>
      </c>
      <c r="C173" s="29" t="s">
        <v>143</v>
      </c>
      <c r="D173" s="36" t="n">
        <v>1</v>
      </c>
      <c r="E173" s="35" t="str">
        <f aca="false">IF($C173="","",IFERROR(INDEX(Insumos_Unidade,MATCH($C173,Insumos_Ingrediente,0)),""))</f>
        <v>un</v>
      </c>
      <c r="F173" s="19" t="n">
        <f aca="false">IFERROR(INDEX(Insumos_CustoUnit,MATCH($C173,Insumos_Ingrediente,0)),0)</f>
        <v>0</v>
      </c>
      <c r="G173" s="19" t="n">
        <f aca="false">$D173*$F173</f>
        <v>0</v>
      </c>
      <c r="H173" s="38" t="n">
        <f aca="false">IF(OR($E173="g",$E173="ml"),$D173,0)</f>
        <v>0</v>
      </c>
      <c r="I173" s="38" t="n">
        <f aca="false">IF($C173="Açaí",1,0)</f>
        <v>0</v>
      </c>
      <c r="J173" s="38" t="n">
        <f aca="false">IF($C173="Banana",1,0)</f>
        <v>0</v>
      </c>
      <c r="K173" s="38" t="n">
        <f aca="false">IF($C173="Whey Protein",1,0)</f>
        <v>0</v>
      </c>
      <c r="L173" s="38" t="n">
        <f aca="false">IF(ISNUMBER(SEARCH("Copo",$C173)),1,0)</f>
        <v>0</v>
      </c>
    </row>
    <row r="174" customFormat="false" ht="15" hidden="false" customHeight="true" outlineLevel="0" collapsed="false">
      <c r="A174" s="29" t="s">
        <v>195</v>
      </c>
      <c r="B174" s="35" t="str">
        <f aca="false">IF($C174="","",IFERROR(INDEX(Insumos_Categoria,MATCH($C174,Insumos_Ingrediente,0)),""))</f>
        <v>Bases (Produção Própria)</v>
      </c>
      <c r="C174" s="29" t="s">
        <v>88</v>
      </c>
      <c r="D174" s="36" t="n">
        <v>470</v>
      </c>
      <c r="E174" s="35" t="str">
        <f aca="false">IF($C174="","",IFERROR(INDEX(Insumos_Unidade,MATCH($C174,Insumos_Ingrediente,0)),""))</f>
        <v>ml</v>
      </c>
      <c r="F174" s="19" t="n">
        <f aca="false">IFERROR(INDEX(Insumos_CustoUnit,MATCH($C174,Insumos_Ingrediente,0)),0)</f>
        <v>0.0165</v>
      </c>
      <c r="G174" s="19" t="n">
        <f aca="false">$D174*$F174</f>
        <v>7.755</v>
      </c>
      <c r="H174" s="37" t="n">
        <f aca="false">IF(OR($E174="g",$E174="ml"),$D174,0)</f>
        <v>470</v>
      </c>
      <c r="I174" s="38" t="n">
        <f aca="false">IF($C174="Açaí",1,0)</f>
        <v>1</v>
      </c>
      <c r="J174" s="38" t="n">
        <f aca="false">IF($C174="Banana",1,0)</f>
        <v>0</v>
      </c>
      <c r="K174" s="38" t="n">
        <f aca="false">IF($C174="Whey Protein",1,0)</f>
        <v>0</v>
      </c>
      <c r="L174" s="38" t="n">
        <f aca="false">IF(ISNUMBER(SEARCH("Copo",$C174)),1,0)</f>
        <v>0</v>
      </c>
    </row>
    <row r="175" customFormat="false" ht="15" hidden="false" customHeight="true" outlineLevel="0" collapsed="false">
      <c r="A175" s="29" t="s">
        <v>195</v>
      </c>
      <c r="B175" s="35" t="str">
        <f aca="false">IF($C175="","",IFERROR(INDEX(Insumos_Categoria,MATCH($C175,Insumos_Ingrediente,0)),""))</f>
        <v>Coberturas (30g)</v>
      </c>
      <c r="C175" s="29" t="s">
        <v>100</v>
      </c>
      <c r="D175" s="36" t="n">
        <v>30</v>
      </c>
      <c r="E175" s="35" t="str">
        <f aca="false">IF($C175="","",IFERROR(INDEX(Insumos_Unidade,MATCH($C175,Insumos_Ingrediente,0)),""))</f>
        <v>g</v>
      </c>
      <c r="F175" s="19" t="n">
        <f aca="false">IFERROR(INDEX(Insumos_CustoUnit,MATCH($C175,Insumos_Ingrediente,0)),0)</f>
        <v>0.00230769230769231</v>
      </c>
      <c r="G175" s="19" t="n">
        <f aca="false">$D175*$F175</f>
        <v>0.0692307692307692</v>
      </c>
      <c r="H175" s="37" t="n">
        <f aca="false">IF(OR($E175="g",$E175="ml"),$D175,0)</f>
        <v>30</v>
      </c>
      <c r="I175" s="38" t="n">
        <f aca="false">IF($C175="Açaí",1,0)</f>
        <v>0</v>
      </c>
      <c r="J175" s="38" t="n">
        <f aca="false">IF($C175="Banana",1,0)</f>
        <v>1</v>
      </c>
      <c r="K175" s="38" t="n">
        <f aca="false">IF($C175="Whey Protein",1,0)</f>
        <v>0</v>
      </c>
      <c r="L175" s="38" t="n">
        <f aca="false">IF(ISNUMBER(SEARCH("Copo",$C175)),1,0)</f>
        <v>0</v>
      </c>
    </row>
    <row r="176" customFormat="false" ht="15" hidden="false" customHeight="true" outlineLevel="0" collapsed="false">
      <c r="A176" s="29" t="s">
        <v>195</v>
      </c>
      <c r="B176" s="35" t="str">
        <f aca="false">IF($C176="","",IFERROR(INDEX(Insumos_Categoria,MATCH($C176,Insumos_Ingrediente,0)),""))</f>
        <v>Coberturas (30g)</v>
      </c>
      <c r="C176" s="29" t="s">
        <v>102</v>
      </c>
      <c r="D176" s="36" t="n">
        <v>30</v>
      </c>
      <c r="E176" s="35" t="str">
        <f aca="false">IF($C176="","",IFERROR(INDEX(Insumos_Unidade,MATCH($C176,Insumos_Ingrediente,0)),""))</f>
        <v>g</v>
      </c>
      <c r="F176" s="19" t="n">
        <f aca="false">IFERROR(INDEX(Insumos_CustoUnit,MATCH($C176,Insumos_Ingrediente,0)),0)</f>
        <v>0.02</v>
      </c>
      <c r="G176" s="19" t="n">
        <f aca="false">$D176*$F176</f>
        <v>0.6</v>
      </c>
      <c r="H176" s="37" t="n">
        <f aca="false">IF(OR($E176="g",$E176="ml"),$D176,0)</f>
        <v>30</v>
      </c>
      <c r="I176" s="38" t="n">
        <f aca="false">IF($C176="Açaí",1,0)</f>
        <v>0</v>
      </c>
      <c r="J176" s="38" t="n">
        <f aca="false">IF($C176="Banana",1,0)</f>
        <v>0</v>
      </c>
      <c r="K176" s="38" t="n">
        <f aca="false">IF($C176="Whey Protein",1,0)</f>
        <v>0</v>
      </c>
      <c r="L176" s="38" t="n">
        <f aca="false">IF(ISNUMBER(SEARCH("Copo",$C176)),1,0)</f>
        <v>0</v>
      </c>
    </row>
    <row r="177" customFormat="false" ht="15" hidden="false" customHeight="true" outlineLevel="0" collapsed="false">
      <c r="A177" s="29" t="s">
        <v>195</v>
      </c>
      <c r="B177" s="35" t="str">
        <f aca="false">IF($C177="","",IFERROR(INDEX(Insumos_Categoria,MATCH($C177,Insumos_Ingrediente,0)),""))</f>
        <v>Coberturas (30g)</v>
      </c>
      <c r="C177" s="29" t="s">
        <v>104</v>
      </c>
      <c r="D177" s="36" t="n">
        <v>30</v>
      </c>
      <c r="E177" s="35" t="str">
        <f aca="false">IF($C177="","",IFERROR(INDEX(Insumos_Unidade,MATCH($C177,Insumos_Ingrediente,0)),""))</f>
        <v>g</v>
      </c>
      <c r="F177" s="19" t="n">
        <f aca="false">IFERROR(INDEX(Insumos_CustoUnit,MATCH($C177,Insumos_Ingrediente,0)),0)</f>
        <v>0.02233</v>
      </c>
      <c r="G177" s="19" t="n">
        <f aca="false">$D177*$F177</f>
        <v>0.6699</v>
      </c>
      <c r="H177" s="37" t="n">
        <f aca="false">IF(OR($E177="g",$E177="ml"),$D177,0)</f>
        <v>30</v>
      </c>
      <c r="I177" s="38" t="n">
        <f aca="false">IF($C177="Açaí",1,0)</f>
        <v>0</v>
      </c>
      <c r="J177" s="38" t="n">
        <f aca="false">IF($C177="Banana",1,0)</f>
        <v>0</v>
      </c>
      <c r="K177" s="38" t="n">
        <f aca="false">IF($C177="Whey Protein",1,0)</f>
        <v>0</v>
      </c>
      <c r="L177" s="38" t="n">
        <f aca="false">IF(ISNUMBER(SEARCH("Copo",$C177)),1,0)</f>
        <v>0</v>
      </c>
    </row>
    <row r="178" customFormat="false" ht="15" hidden="false" customHeight="true" outlineLevel="0" collapsed="false">
      <c r="A178" s="29" t="s">
        <v>195</v>
      </c>
      <c r="B178" s="35" t="str">
        <f aca="false">IF($C178="","",IFERROR(INDEX(Insumos_Categoria,MATCH($C178,Insumos_Ingrediente,0)),""))</f>
        <v>Embalagens</v>
      </c>
      <c r="C178" s="29" t="s">
        <v>124</v>
      </c>
      <c r="D178" s="36" t="n">
        <v>1</v>
      </c>
      <c r="E178" s="35" t="str">
        <f aca="false">IF($C178="","",IFERROR(INDEX(Insumos_Unidade,MATCH($C178,Insumos_Ingrediente,0)),""))</f>
        <v>un</v>
      </c>
      <c r="F178" s="19" t="n">
        <f aca="false">IFERROR(INDEX(Insumos_CustoUnit,MATCH($C178,Insumos_Ingrediente,0)),0)</f>
        <v>0.24365</v>
      </c>
      <c r="G178" s="19" t="n">
        <f aca="false">$D178*$F178</f>
        <v>0.24365</v>
      </c>
      <c r="H178" s="38" t="n">
        <f aca="false">IF(OR($E178="g",$E178="ml"),$D178,0)</f>
        <v>0</v>
      </c>
      <c r="I178" s="38" t="n">
        <f aca="false">IF($C178="Açaí",1,0)</f>
        <v>0</v>
      </c>
      <c r="J178" s="38" t="n">
        <f aca="false">IF($C178="Banana",1,0)</f>
        <v>0</v>
      </c>
      <c r="K178" s="38" t="n">
        <f aca="false">IF($C178="Whey Protein",1,0)</f>
        <v>0</v>
      </c>
      <c r="L178" s="38" t="n">
        <f aca="false">IF(ISNUMBER(SEARCH("Copo",$C178)),1,0)</f>
        <v>1</v>
      </c>
    </row>
    <row r="179" customFormat="false" ht="15" hidden="false" customHeight="true" outlineLevel="0" collapsed="false">
      <c r="A179" s="29" t="s">
        <v>195</v>
      </c>
      <c r="B179" s="35" t="str">
        <f aca="false">IF($C179="","",IFERROR(INDEX(Insumos_Categoria,MATCH($C179,Insumos_Ingrediente,0)),""))</f>
        <v>Embalagens</v>
      </c>
      <c r="C179" s="29" t="s">
        <v>127</v>
      </c>
      <c r="D179" s="36" t="n">
        <v>1</v>
      </c>
      <c r="E179" s="35" t="str">
        <f aca="false">IF($C179="","",IFERROR(INDEX(Insumos_Unidade,MATCH($C179,Insumos_Ingrediente,0)),""))</f>
        <v>un</v>
      </c>
      <c r="F179" s="19" t="n">
        <f aca="false">IFERROR(INDEX(Insumos_CustoUnit,MATCH($C179,Insumos_Ingrediente,0)),0)</f>
        <v>0.0923</v>
      </c>
      <c r="G179" s="19" t="n">
        <f aca="false">$D179*$F179</f>
        <v>0.0923</v>
      </c>
      <c r="H179" s="38" t="n">
        <f aca="false">IF(OR($E179="g",$E179="ml"),$D179,0)</f>
        <v>0</v>
      </c>
      <c r="I179" s="38" t="n">
        <f aca="false">IF($C179="Açaí",1,0)</f>
        <v>0</v>
      </c>
      <c r="J179" s="38" t="n">
        <f aca="false">IF($C179="Banana",1,0)</f>
        <v>0</v>
      </c>
      <c r="K179" s="38" t="n">
        <f aca="false">IF($C179="Whey Protein",1,0)</f>
        <v>0</v>
      </c>
      <c r="L179" s="38" t="n">
        <f aca="false">IF(ISNUMBER(SEARCH("Copo",$C179)),1,0)</f>
        <v>0</v>
      </c>
    </row>
    <row r="180" customFormat="false" ht="15" hidden="false" customHeight="true" outlineLevel="0" collapsed="false">
      <c r="A180" s="29" t="s">
        <v>195</v>
      </c>
      <c r="B180" s="35" t="str">
        <f aca="false">IF($C180="","",IFERROR(INDEX(Insumos_Categoria,MATCH($C180,Insumos_Ingrediente,0)),""))</f>
        <v>Consumíveis</v>
      </c>
      <c r="C180" s="29" t="s">
        <v>141</v>
      </c>
      <c r="D180" s="36" t="n">
        <v>1</v>
      </c>
      <c r="E180" s="35" t="str">
        <f aca="false">IF($C180="","",IFERROR(INDEX(Insumos_Unidade,MATCH($C180,Insumos_Ingrediente,0)),""))</f>
        <v>un</v>
      </c>
      <c r="F180" s="19" t="n">
        <f aca="false">IFERROR(INDEX(Insumos_CustoUnit,MATCH($C180,Insumos_Ingrediente,0)),0)</f>
        <v>0.0938</v>
      </c>
      <c r="G180" s="19" t="n">
        <f aca="false">$D180*$F180</f>
        <v>0.0938</v>
      </c>
      <c r="H180" s="38" t="n">
        <f aca="false">IF(OR($E180="g",$E180="ml"),$D180,0)</f>
        <v>0</v>
      </c>
      <c r="I180" s="38" t="n">
        <f aca="false">IF($C180="Açaí",1,0)</f>
        <v>0</v>
      </c>
      <c r="J180" s="38" t="n">
        <f aca="false">IF($C180="Banana",1,0)</f>
        <v>0</v>
      </c>
      <c r="K180" s="38" t="n">
        <f aca="false">IF($C180="Whey Protein",1,0)</f>
        <v>0</v>
      </c>
      <c r="L180" s="38" t="n">
        <f aca="false">IF(ISNUMBER(SEARCH("Copo",$C180)),1,0)</f>
        <v>0</v>
      </c>
    </row>
    <row r="181" customFormat="false" ht="15" hidden="false" customHeight="true" outlineLevel="0" collapsed="false">
      <c r="A181" s="29" t="s">
        <v>195</v>
      </c>
      <c r="B181" s="35" t="str">
        <f aca="false">IF($C181="","",IFERROR(INDEX(Insumos_Categoria,MATCH($C181,Insumos_Ingrediente,0)),""))</f>
        <v>Consumíveis</v>
      </c>
      <c r="C181" s="29" t="s">
        <v>143</v>
      </c>
      <c r="D181" s="36" t="n">
        <v>1</v>
      </c>
      <c r="E181" s="35" t="str">
        <f aca="false">IF($C181="","",IFERROR(INDEX(Insumos_Unidade,MATCH($C181,Insumos_Ingrediente,0)),""))</f>
        <v>un</v>
      </c>
      <c r="F181" s="19" t="n">
        <f aca="false">IFERROR(INDEX(Insumos_CustoUnit,MATCH($C181,Insumos_Ingrediente,0)),0)</f>
        <v>0</v>
      </c>
      <c r="G181" s="19" t="n">
        <f aca="false">$D181*$F181</f>
        <v>0</v>
      </c>
      <c r="H181" s="38" t="n">
        <f aca="false">IF(OR($E181="g",$E181="ml"),$D181,0)</f>
        <v>0</v>
      </c>
      <c r="I181" s="38" t="n">
        <f aca="false">IF($C181="Açaí",1,0)</f>
        <v>0</v>
      </c>
      <c r="J181" s="38" t="n">
        <f aca="false">IF($C181="Banana",1,0)</f>
        <v>0</v>
      </c>
      <c r="K181" s="38" t="n">
        <f aca="false">IF($C181="Whey Protein",1,0)</f>
        <v>0</v>
      </c>
      <c r="L181" s="38" t="n">
        <f aca="false">IF(ISNUMBER(SEARCH("Copo",$C181)),1,0)</f>
        <v>0</v>
      </c>
    </row>
    <row r="182" customFormat="false" ht="15" hidden="false" customHeight="true" outlineLevel="0" collapsed="false">
      <c r="A182" s="29" t="s">
        <v>196</v>
      </c>
      <c r="B182" s="35" t="str">
        <f aca="false">IF($C182="","",IFERROR(INDEX(Insumos_Categoria,MATCH($C182,Insumos_Ingrediente,0)),""))</f>
        <v>Bases (Produção Própria)</v>
      </c>
      <c r="C182" s="29" t="s">
        <v>88</v>
      </c>
      <c r="D182" s="36" t="n">
        <v>170</v>
      </c>
      <c r="E182" s="35" t="str">
        <f aca="false">IF($C182="","",IFERROR(INDEX(Insumos_Unidade,MATCH($C182,Insumos_Ingrediente,0)),""))</f>
        <v>ml</v>
      </c>
      <c r="F182" s="19" t="n">
        <f aca="false">IFERROR(INDEX(Insumos_CustoUnit,MATCH($C182,Insumos_Ingrediente,0)),0)</f>
        <v>0.0165</v>
      </c>
      <c r="G182" s="19" t="n">
        <f aca="false">$D182*$F182</f>
        <v>2.805</v>
      </c>
      <c r="H182" s="37" t="n">
        <f aca="false">IF(OR($E182="g",$E182="ml"),$D182,0)</f>
        <v>170</v>
      </c>
      <c r="I182" s="38" t="n">
        <f aca="false">IF($C182="Açaí",1,0)</f>
        <v>1</v>
      </c>
      <c r="J182" s="38" t="n">
        <f aca="false">IF($C182="Banana",1,0)</f>
        <v>0</v>
      </c>
      <c r="K182" s="38" t="n">
        <f aca="false">IF($C182="Whey Protein",1,0)</f>
        <v>0</v>
      </c>
      <c r="L182" s="38" t="n">
        <f aca="false">IF(ISNUMBER(SEARCH("Copo",$C182)),1,0)</f>
        <v>0</v>
      </c>
    </row>
    <row r="183" customFormat="false" ht="15" hidden="false" customHeight="true" outlineLevel="0" collapsed="false">
      <c r="A183" s="29" t="s">
        <v>196</v>
      </c>
      <c r="B183" s="35" t="str">
        <f aca="false">IF($C183="","",IFERROR(INDEX(Insumos_Categoria,MATCH($C183,Insumos_Ingrediente,0)),""))</f>
        <v>Coberturas (30g)</v>
      </c>
      <c r="C183" s="29" t="s">
        <v>100</v>
      </c>
      <c r="D183" s="36" t="n">
        <v>30</v>
      </c>
      <c r="E183" s="35" t="str">
        <f aca="false">IF($C183="","",IFERROR(INDEX(Insumos_Unidade,MATCH($C183,Insumos_Ingrediente,0)),""))</f>
        <v>g</v>
      </c>
      <c r="F183" s="19" t="n">
        <f aca="false">IFERROR(INDEX(Insumos_CustoUnit,MATCH($C183,Insumos_Ingrediente,0)),0)</f>
        <v>0.00230769230769231</v>
      </c>
      <c r="G183" s="19" t="n">
        <f aca="false">$D183*$F183</f>
        <v>0.0692307692307692</v>
      </c>
      <c r="H183" s="37" t="n">
        <f aca="false">IF(OR($E183="g",$E183="ml"),$D183,0)</f>
        <v>30</v>
      </c>
      <c r="I183" s="38" t="n">
        <f aca="false">IF($C183="Açaí",1,0)</f>
        <v>0</v>
      </c>
      <c r="J183" s="38" t="n">
        <f aca="false">IF($C183="Banana",1,0)</f>
        <v>1</v>
      </c>
      <c r="K183" s="38" t="n">
        <f aca="false">IF($C183="Whey Protein",1,0)</f>
        <v>0</v>
      </c>
      <c r="L183" s="38" t="n">
        <f aca="false">IF(ISNUMBER(SEARCH("Copo",$C183)),1,0)</f>
        <v>0</v>
      </c>
    </row>
    <row r="184" customFormat="false" ht="15" hidden="false" customHeight="true" outlineLevel="0" collapsed="false">
      <c r="A184" s="29" t="s">
        <v>196</v>
      </c>
      <c r="B184" s="35" t="str">
        <f aca="false">IF($C184="","",IFERROR(INDEX(Insumos_Categoria,MATCH($C184,Insumos_Ingrediente,0)),""))</f>
        <v>Coberturas (30g)</v>
      </c>
      <c r="C184" s="29" t="s">
        <v>114</v>
      </c>
      <c r="D184" s="36" t="n">
        <v>30</v>
      </c>
      <c r="E184" s="35" t="str">
        <f aca="false">IF($C184="","",IFERROR(INDEX(Insumos_Unidade,MATCH($C184,Insumos_Ingrediente,0)),""))</f>
        <v>g</v>
      </c>
      <c r="F184" s="19" t="n">
        <f aca="false">IFERROR(INDEX(Insumos_CustoUnit,MATCH($C184,Insumos_Ingrediente,0)),0)</f>
        <v>0</v>
      </c>
      <c r="G184" s="19" t="n">
        <f aca="false">$D184*$F184</f>
        <v>0</v>
      </c>
      <c r="H184" s="37" t="n">
        <f aca="false">IF(OR($E184="g",$E184="ml"),$D184,0)</f>
        <v>30</v>
      </c>
      <c r="I184" s="38" t="n">
        <f aca="false">IF($C184="Açaí",1,0)</f>
        <v>0</v>
      </c>
      <c r="J184" s="38" t="n">
        <f aca="false">IF($C184="Banana",1,0)</f>
        <v>0</v>
      </c>
      <c r="K184" s="38" t="n">
        <f aca="false">IF($C184="Whey Protein",1,0)</f>
        <v>1</v>
      </c>
      <c r="L184" s="38" t="n">
        <f aca="false">IF(ISNUMBER(SEARCH("Copo",$C184)),1,0)</f>
        <v>0</v>
      </c>
    </row>
    <row r="185" customFormat="false" ht="15" hidden="false" customHeight="true" outlineLevel="0" collapsed="false">
      <c r="A185" s="29" t="s">
        <v>196</v>
      </c>
      <c r="B185" s="35" t="str">
        <f aca="false">IF($C185="","",IFERROR(INDEX(Insumos_Categoria,MATCH($C185,Insumos_Ingrediente,0)),""))</f>
        <v>Coberturas (30g)</v>
      </c>
      <c r="C185" s="29" t="s">
        <v>96</v>
      </c>
      <c r="D185" s="36" t="n">
        <v>30</v>
      </c>
      <c r="E185" s="35" t="str">
        <f aca="false">IF($C185="","",IFERROR(INDEX(Insumos_Unidade,MATCH($C185,Insumos_Ingrediente,0)),""))</f>
        <v>g</v>
      </c>
      <c r="F185" s="19" t="n">
        <f aca="false">IFERROR(INDEX(Insumos_CustoUnit,MATCH($C185,Insumos_Ingrediente,0)),0)</f>
        <v>0.03355</v>
      </c>
      <c r="G185" s="19" t="n">
        <f aca="false">$D185*$F185</f>
        <v>1.0065</v>
      </c>
      <c r="H185" s="37" t="n">
        <f aca="false">IF(OR($E185="g",$E185="ml"),$D185,0)</f>
        <v>30</v>
      </c>
      <c r="I185" s="38" t="n">
        <f aca="false">IF($C185="Açaí",1,0)</f>
        <v>0</v>
      </c>
      <c r="J185" s="38" t="n">
        <f aca="false">IF($C185="Banana",1,0)</f>
        <v>0</v>
      </c>
      <c r="K185" s="38" t="n">
        <f aca="false">IF($C185="Whey Protein",1,0)</f>
        <v>0</v>
      </c>
      <c r="L185" s="38" t="n">
        <f aca="false">IF(ISNUMBER(SEARCH("Copo",$C185)),1,0)</f>
        <v>0</v>
      </c>
    </row>
    <row r="186" customFormat="false" ht="15" hidden="false" customHeight="true" outlineLevel="0" collapsed="false">
      <c r="A186" s="29" t="s">
        <v>196</v>
      </c>
      <c r="B186" s="35" t="str">
        <f aca="false">IF($C186="","",IFERROR(INDEX(Insumos_Categoria,MATCH($C186,Insumos_Ingrediente,0)),""))</f>
        <v>Embalagens</v>
      </c>
      <c r="C186" s="29" t="s">
        <v>120</v>
      </c>
      <c r="D186" s="36" t="n">
        <v>1</v>
      </c>
      <c r="E186" s="35" t="str">
        <f aca="false">IF($C186="","",IFERROR(INDEX(Insumos_Unidade,MATCH($C186,Insumos_Ingrediente,0)),""))</f>
        <v>un</v>
      </c>
      <c r="F186" s="19" t="n">
        <f aca="false">IFERROR(INDEX(Insumos_CustoUnit,MATCH($C186,Insumos_Ingrediente,0)),0)</f>
        <v>0.1668</v>
      </c>
      <c r="G186" s="19" t="n">
        <f aca="false">$D186*$F186</f>
        <v>0.1668</v>
      </c>
      <c r="H186" s="38" t="n">
        <f aca="false">IF(OR($E186="g",$E186="ml"),$D186,0)</f>
        <v>0</v>
      </c>
      <c r="I186" s="38" t="n">
        <f aca="false">IF($C186="Açaí",1,0)</f>
        <v>0</v>
      </c>
      <c r="J186" s="38" t="n">
        <f aca="false">IF($C186="Banana",1,0)</f>
        <v>0</v>
      </c>
      <c r="K186" s="38" t="n">
        <f aca="false">IF($C186="Whey Protein",1,0)</f>
        <v>0</v>
      </c>
      <c r="L186" s="38" t="n">
        <f aca="false">IF(ISNUMBER(SEARCH("Copo",$C186)),1,0)</f>
        <v>1</v>
      </c>
    </row>
    <row r="187" customFormat="false" ht="15" hidden="false" customHeight="true" outlineLevel="0" collapsed="false">
      <c r="A187" s="29" t="s">
        <v>196</v>
      </c>
      <c r="B187" s="35" t="str">
        <f aca="false">IF($C187="","",IFERROR(INDEX(Insumos_Categoria,MATCH($C187,Insumos_Ingrediente,0)),""))</f>
        <v>Embalagens</v>
      </c>
      <c r="C187" s="29" t="s">
        <v>125</v>
      </c>
      <c r="D187" s="36" t="n">
        <v>1</v>
      </c>
      <c r="E187" s="35" t="str">
        <f aca="false">IF($C187="","",IFERROR(INDEX(Insumos_Unidade,MATCH($C187,Insumos_Ingrediente,0)),""))</f>
        <v>un</v>
      </c>
      <c r="F187" s="19" t="n">
        <f aca="false">IFERROR(INDEX(Insumos_CustoUnit,MATCH($C187,Insumos_Ingrediente,0)),0)</f>
        <v>0.0823</v>
      </c>
      <c r="G187" s="19" t="n">
        <f aca="false">$D187*$F187</f>
        <v>0.0823</v>
      </c>
      <c r="H187" s="38" t="n">
        <f aca="false">IF(OR($E187="g",$E187="ml"),$D187,0)</f>
        <v>0</v>
      </c>
      <c r="I187" s="38" t="n">
        <f aca="false">IF($C187="Açaí",1,0)</f>
        <v>0</v>
      </c>
      <c r="J187" s="38" t="n">
        <f aca="false">IF($C187="Banana",1,0)</f>
        <v>0</v>
      </c>
      <c r="K187" s="38" t="n">
        <f aca="false">IF($C187="Whey Protein",1,0)</f>
        <v>0</v>
      </c>
      <c r="L187" s="38" t="n">
        <f aca="false">IF(ISNUMBER(SEARCH("Copo",$C187)),1,0)</f>
        <v>0</v>
      </c>
    </row>
    <row r="188" customFormat="false" ht="15" hidden="false" customHeight="true" outlineLevel="0" collapsed="false">
      <c r="A188" s="29" t="s">
        <v>196</v>
      </c>
      <c r="B188" s="35" t="str">
        <f aca="false">IF($C188="","",IFERROR(INDEX(Insumos_Categoria,MATCH($C188,Insumos_Ingrediente,0)),""))</f>
        <v>Consumíveis</v>
      </c>
      <c r="C188" s="29" t="s">
        <v>141</v>
      </c>
      <c r="D188" s="36" t="n">
        <v>1</v>
      </c>
      <c r="E188" s="35" t="str">
        <f aca="false">IF($C188="","",IFERROR(INDEX(Insumos_Unidade,MATCH($C188,Insumos_Ingrediente,0)),""))</f>
        <v>un</v>
      </c>
      <c r="F188" s="19" t="n">
        <f aca="false">IFERROR(INDEX(Insumos_CustoUnit,MATCH($C188,Insumos_Ingrediente,0)),0)</f>
        <v>0.0938</v>
      </c>
      <c r="G188" s="19" t="n">
        <f aca="false">$D188*$F188</f>
        <v>0.0938</v>
      </c>
      <c r="H188" s="38" t="n">
        <f aca="false">IF(OR($E188="g",$E188="ml"),$D188,0)</f>
        <v>0</v>
      </c>
      <c r="I188" s="38" t="n">
        <f aca="false">IF($C188="Açaí",1,0)</f>
        <v>0</v>
      </c>
      <c r="J188" s="38" t="n">
        <f aca="false">IF($C188="Banana",1,0)</f>
        <v>0</v>
      </c>
      <c r="K188" s="38" t="n">
        <f aca="false">IF($C188="Whey Protein",1,0)</f>
        <v>0</v>
      </c>
      <c r="L188" s="38" t="n">
        <f aca="false">IF(ISNUMBER(SEARCH("Copo",$C188)),1,0)</f>
        <v>0</v>
      </c>
    </row>
    <row r="189" customFormat="false" ht="15" hidden="false" customHeight="true" outlineLevel="0" collapsed="false">
      <c r="A189" s="29" t="s">
        <v>196</v>
      </c>
      <c r="B189" s="35" t="str">
        <f aca="false">IF($C189="","",IFERROR(INDEX(Insumos_Categoria,MATCH($C189,Insumos_Ingrediente,0)),""))</f>
        <v>Consumíveis</v>
      </c>
      <c r="C189" s="29" t="s">
        <v>143</v>
      </c>
      <c r="D189" s="36" t="n">
        <v>1</v>
      </c>
      <c r="E189" s="35" t="str">
        <f aca="false">IF($C189="","",IFERROR(INDEX(Insumos_Unidade,MATCH($C189,Insumos_Ingrediente,0)),""))</f>
        <v>un</v>
      </c>
      <c r="F189" s="19" t="n">
        <f aca="false">IFERROR(INDEX(Insumos_CustoUnit,MATCH($C189,Insumos_Ingrediente,0)),0)</f>
        <v>0</v>
      </c>
      <c r="G189" s="19" t="n">
        <f aca="false">$D189*$F189</f>
        <v>0</v>
      </c>
      <c r="H189" s="38" t="n">
        <f aca="false">IF(OR($E189="g",$E189="ml"),$D189,0)</f>
        <v>0</v>
      </c>
      <c r="I189" s="38" t="n">
        <f aca="false">IF($C189="Açaí",1,0)</f>
        <v>0</v>
      </c>
      <c r="J189" s="38" t="n">
        <f aca="false">IF($C189="Banana",1,0)</f>
        <v>0</v>
      </c>
      <c r="K189" s="38" t="n">
        <f aca="false">IF($C189="Whey Protein",1,0)</f>
        <v>0</v>
      </c>
      <c r="L189" s="38" t="n">
        <f aca="false">IF(ISNUMBER(SEARCH("Copo",$C189)),1,0)</f>
        <v>0</v>
      </c>
    </row>
    <row r="190" customFormat="false" ht="15" hidden="false" customHeight="true" outlineLevel="0" collapsed="false">
      <c r="A190" s="29" t="s">
        <v>197</v>
      </c>
      <c r="B190" s="35" t="str">
        <f aca="false">IF($C190="","",IFERROR(INDEX(Insumos_Categoria,MATCH($C190,Insumos_Ingrediente,0)),""))</f>
        <v>Bases (Produção Própria)</v>
      </c>
      <c r="C190" s="29" t="s">
        <v>88</v>
      </c>
      <c r="D190" s="36" t="n">
        <v>270</v>
      </c>
      <c r="E190" s="35" t="str">
        <f aca="false">IF($C190="","",IFERROR(INDEX(Insumos_Unidade,MATCH($C190,Insumos_Ingrediente,0)),""))</f>
        <v>ml</v>
      </c>
      <c r="F190" s="19" t="n">
        <f aca="false">IFERROR(INDEX(Insumos_CustoUnit,MATCH($C190,Insumos_Ingrediente,0)),0)</f>
        <v>0.0165</v>
      </c>
      <c r="G190" s="19" t="n">
        <f aca="false">$D190*$F190</f>
        <v>4.455</v>
      </c>
      <c r="H190" s="37" t="n">
        <f aca="false">IF(OR($E190="g",$E190="ml"),$D190,0)</f>
        <v>270</v>
      </c>
      <c r="I190" s="38" t="n">
        <f aca="false">IF($C190="Açaí",1,0)</f>
        <v>1</v>
      </c>
      <c r="J190" s="38" t="n">
        <f aca="false">IF($C190="Banana",1,0)</f>
        <v>0</v>
      </c>
      <c r="K190" s="38" t="n">
        <f aca="false">IF($C190="Whey Protein",1,0)</f>
        <v>0</v>
      </c>
      <c r="L190" s="38" t="n">
        <f aca="false">IF(ISNUMBER(SEARCH("Copo",$C190)),1,0)</f>
        <v>0</v>
      </c>
    </row>
    <row r="191" customFormat="false" ht="15" hidden="false" customHeight="true" outlineLevel="0" collapsed="false">
      <c r="A191" s="29" t="s">
        <v>197</v>
      </c>
      <c r="B191" s="35" t="str">
        <f aca="false">IF($C191="","",IFERROR(INDEX(Insumos_Categoria,MATCH($C191,Insumos_Ingrediente,0)),""))</f>
        <v>Coberturas (30g)</v>
      </c>
      <c r="C191" s="29" t="s">
        <v>100</v>
      </c>
      <c r="D191" s="36" t="n">
        <v>30</v>
      </c>
      <c r="E191" s="35" t="str">
        <f aca="false">IF($C191="","",IFERROR(INDEX(Insumos_Unidade,MATCH($C191,Insumos_Ingrediente,0)),""))</f>
        <v>g</v>
      </c>
      <c r="F191" s="19" t="n">
        <f aca="false">IFERROR(INDEX(Insumos_CustoUnit,MATCH($C191,Insumos_Ingrediente,0)),0)</f>
        <v>0.00230769230769231</v>
      </c>
      <c r="G191" s="19" t="n">
        <f aca="false">$D191*$F191</f>
        <v>0.0692307692307692</v>
      </c>
      <c r="H191" s="37" t="n">
        <f aca="false">IF(OR($E191="g",$E191="ml"),$D191,0)</f>
        <v>30</v>
      </c>
      <c r="I191" s="38" t="n">
        <f aca="false">IF($C191="Açaí",1,0)</f>
        <v>0</v>
      </c>
      <c r="J191" s="38" t="n">
        <f aca="false">IF($C191="Banana",1,0)</f>
        <v>1</v>
      </c>
      <c r="K191" s="38" t="n">
        <f aca="false">IF($C191="Whey Protein",1,0)</f>
        <v>0</v>
      </c>
      <c r="L191" s="38" t="n">
        <f aca="false">IF(ISNUMBER(SEARCH("Copo",$C191)),1,0)</f>
        <v>0</v>
      </c>
    </row>
    <row r="192" customFormat="false" ht="15" hidden="false" customHeight="true" outlineLevel="0" collapsed="false">
      <c r="A192" s="29" t="s">
        <v>197</v>
      </c>
      <c r="B192" s="35" t="str">
        <f aca="false">IF($C192="","",IFERROR(INDEX(Insumos_Categoria,MATCH($C192,Insumos_Ingrediente,0)),""))</f>
        <v>Coberturas (30g)</v>
      </c>
      <c r="C192" s="29" t="s">
        <v>114</v>
      </c>
      <c r="D192" s="36" t="n">
        <v>30</v>
      </c>
      <c r="E192" s="35" t="str">
        <f aca="false">IF($C192="","",IFERROR(INDEX(Insumos_Unidade,MATCH($C192,Insumos_Ingrediente,0)),""))</f>
        <v>g</v>
      </c>
      <c r="F192" s="19" t="n">
        <f aca="false">IFERROR(INDEX(Insumos_CustoUnit,MATCH($C192,Insumos_Ingrediente,0)),0)</f>
        <v>0</v>
      </c>
      <c r="G192" s="19" t="n">
        <f aca="false">$D192*$F192</f>
        <v>0</v>
      </c>
      <c r="H192" s="37" t="n">
        <f aca="false">IF(OR($E192="g",$E192="ml"),$D192,0)</f>
        <v>30</v>
      </c>
      <c r="I192" s="38" t="n">
        <f aca="false">IF($C192="Açaí",1,0)</f>
        <v>0</v>
      </c>
      <c r="J192" s="38" t="n">
        <f aca="false">IF($C192="Banana",1,0)</f>
        <v>0</v>
      </c>
      <c r="K192" s="38" t="n">
        <f aca="false">IF($C192="Whey Protein",1,0)</f>
        <v>1</v>
      </c>
      <c r="L192" s="38" t="n">
        <f aca="false">IF(ISNUMBER(SEARCH("Copo",$C192)),1,0)</f>
        <v>0</v>
      </c>
    </row>
    <row r="193" customFormat="false" ht="15" hidden="false" customHeight="true" outlineLevel="0" collapsed="false">
      <c r="A193" s="29" t="s">
        <v>197</v>
      </c>
      <c r="B193" s="35" t="str">
        <f aca="false">IF($C193="","",IFERROR(INDEX(Insumos_Categoria,MATCH($C193,Insumos_Ingrediente,0)),""))</f>
        <v>Coberturas (30g)</v>
      </c>
      <c r="C193" s="29" t="s">
        <v>96</v>
      </c>
      <c r="D193" s="36" t="n">
        <v>30</v>
      </c>
      <c r="E193" s="35" t="str">
        <f aca="false">IF($C193="","",IFERROR(INDEX(Insumos_Unidade,MATCH($C193,Insumos_Ingrediente,0)),""))</f>
        <v>g</v>
      </c>
      <c r="F193" s="19" t="n">
        <f aca="false">IFERROR(INDEX(Insumos_CustoUnit,MATCH($C193,Insumos_Ingrediente,0)),0)</f>
        <v>0.03355</v>
      </c>
      <c r="G193" s="19" t="n">
        <f aca="false">$D193*$F193</f>
        <v>1.0065</v>
      </c>
      <c r="H193" s="37" t="n">
        <f aca="false">IF(OR($E193="g",$E193="ml"),$D193,0)</f>
        <v>30</v>
      </c>
      <c r="I193" s="38" t="n">
        <f aca="false">IF($C193="Açaí",1,0)</f>
        <v>0</v>
      </c>
      <c r="J193" s="38" t="n">
        <f aca="false">IF($C193="Banana",1,0)</f>
        <v>0</v>
      </c>
      <c r="K193" s="38" t="n">
        <f aca="false">IF($C193="Whey Protein",1,0)</f>
        <v>0</v>
      </c>
      <c r="L193" s="38" t="n">
        <f aca="false">IF(ISNUMBER(SEARCH("Copo",$C193)),1,0)</f>
        <v>0</v>
      </c>
    </row>
    <row r="194" customFormat="false" ht="15" hidden="false" customHeight="true" outlineLevel="0" collapsed="false">
      <c r="A194" s="29" t="s">
        <v>197</v>
      </c>
      <c r="B194" s="35" t="str">
        <f aca="false">IF($C194="","",IFERROR(INDEX(Insumos_Categoria,MATCH($C194,Insumos_Ingrediente,0)),""))</f>
        <v>Embalagens</v>
      </c>
      <c r="C194" s="29" t="s">
        <v>123</v>
      </c>
      <c r="D194" s="36" t="n">
        <v>1</v>
      </c>
      <c r="E194" s="35" t="str">
        <f aca="false">IF($C194="","",IFERROR(INDEX(Insumos_Unidade,MATCH($C194,Insumos_Ingrediente,0)),""))</f>
        <v>un</v>
      </c>
      <c r="F194" s="19" t="n">
        <f aca="false">IFERROR(INDEX(Insumos_CustoUnit,MATCH($C194,Insumos_Ingrediente,0)),0)</f>
        <v>0.15372</v>
      </c>
      <c r="G194" s="19" t="n">
        <f aca="false">$D194*$F194</f>
        <v>0.15372</v>
      </c>
      <c r="H194" s="38" t="n">
        <f aca="false">IF(OR($E194="g",$E194="ml"),$D194,0)</f>
        <v>0</v>
      </c>
      <c r="I194" s="38" t="n">
        <f aca="false">IF($C194="Açaí",1,0)</f>
        <v>0</v>
      </c>
      <c r="J194" s="38" t="n">
        <f aca="false">IF($C194="Banana",1,0)</f>
        <v>0</v>
      </c>
      <c r="K194" s="38" t="n">
        <f aca="false">IF($C194="Whey Protein",1,0)</f>
        <v>0</v>
      </c>
      <c r="L194" s="38" t="n">
        <f aca="false">IF(ISNUMBER(SEARCH("Copo",$C194)),1,0)</f>
        <v>1</v>
      </c>
    </row>
    <row r="195" customFormat="false" ht="15" hidden="false" customHeight="true" outlineLevel="0" collapsed="false">
      <c r="A195" s="29" t="s">
        <v>197</v>
      </c>
      <c r="B195" s="35" t="str">
        <f aca="false">IF($C195="","",IFERROR(INDEX(Insumos_Categoria,MATCH($C195,Insumos_Ingrediente,0)),""))</f>
        <v>Embalagens</v>
      </c>
      <c r="C195" s="29" t="s">
        <v>126</v>
      </c>
      <c r="D195" s="36" t="n">
        <v>1</v>
      </c>
      <c r="E195" s="35" t="str">
        <f aca="false">IF($C195="","",IFERROR(INDEX(Insumos_Unidade,MATCH($C195,Insumos_Ingrediente,0)),""))</f>
        <v>un</v>
      </c>
      <c r="F195" s="19" t="n">
        <f aca="false">IFERROR(INDEX(Insumos_CustoUnit,MATCH($C195,Insumos_Ingrediente,0)),0)</f>
        <v>0.0823</v>
      </c>
      <c r="G195" s="19" t="n">
        <f aca="false">$D195*$F195</f>
        <v>0.0823</v>
      </c>
      <c r="H195" s="38" t="n">
        <f aca="false">IF(OR($E195="g",$E195="ml"),$D195,0)</f>
        <v>0</v>
      </c>
      <c r="I195" s="38" t="n">
        <f aca="false">IF($C195="Açaí",1,0)</f>
        <v>0</v>
      </c>
      <c r="J195" s="38" t="n">
        <f aca="false">IF($C195="Banana",1,0)</f>
        <v>0</v>
      </c>
      <c r="K195" s="38" t="n">
        <f aca="false">IF($C195="Whey Protein",1,0)</f>
        <v>0</v>
      </c>
      <c r="L195" s="38" t="n">
        <f aca="false">IF(ISNUMBER(SEARCH("Copo",$C195)),1,0)</f>
        <v>0</v>
      </c>
    </row>
    <row r="196" customFormat="false" ht="15" hidden="false" customHeight="true" outlineLevel="0" collapsed="false">
      <c r="A196" s="29" t="s">
        <v>197</v>
      </c>
      <c r="B196" s="35" t="str">
        <f aca="false">IF($C196="","",IFERROR(INDEX(Insumos_Categoria,MATCH($C196,Insumos_Ingrediente,0)),""))</f>
        <v>Consumíveis</v>
      </c>
      <c r="C196" s="29" t="s">
        <v>141</v>
      </c>
      <c r="D196" s="36" t="n">
        <v>1</v>
      </c>
      <c r="E196" s="35" t="str">
        <f aca="false">IF($C196="","",IFERROR(INDEX(Insumos_Unidade,MATCH($C196,Insumos_Ingrediente,0)),""))</f>
        <v>un</v>
      </c>
      <c r="F196" s="19" t="n">
        <f aca="false">IFERROR(INDEX(Insumos_CustoUnit,MATCH($C196,Insumos_Ingrediente,0)),0)</f>
        <v>0.0938</v>
      </c>
      <c r="G196" s="19" t="n">
        <f aca="false">$D196*$F196</f>
        <v>0.0938</v>
      </c>
      <c r="H196" s="38" t="n">
        <f aca="false">IF(OR($E196="g",$E196="ml"),$D196,0)</f>
        <v>0</v>
      </c>
      <c r="I196" s="38" t="n">
        <f aca="false">IF($C196="Açaí",1,0)</f>
        <v>0</v>
      </c>
      <c r="J196" s="38" t="n">
        <f aca="false">IF($C196="Banana",1,0)</f>
        <v>0</v>
      </c>
      <c r="K196" s="38" t="n">
        <f aca="false">IF($C196="Whey Protein",1,0)</f>
        <v>0</v>
      </c>
      <c r="L196" s="38" t="n">
        <f aca="false">IF(ISNUMBER(SEARCH("Copo",$C196)),1,0)</f>
        <v>0</v>
      </c>
    </row>
    <row r="197" customFormat="false" ht="15" hidden="false" customHeight="true" outlineLevel="0" collapsed="false">
      <c r="A197" s="29" t="s">
        <v>197</v>
      </c>
      <c r="B197" s="35" t="str">
        <f aca="false">IF($C197="","",IFERROR(INDEX(Insumos_Categoria,MATCH($C197,Insumos_Ingrediente,0)),""))</f>
        <v>Consumíveis</v>
      </c>
      <c r="C197" s="29" t="s">
        <v>143</v>
      </c>
      <c r="D197" s="36" t="n">
        <v>1</v>
      </c>
      <c r="E197" s="35" t="str">
        <f aca="false">IF($C197="","",IFERROR(INDEX(Insumos_Unidade,MATCH($C197,Insumos_Ingrediente,0)),""))</f>
        <v>un</v>
      </c>
      <c r="F197" s="19" t="n">
        <f aca="false">IFERROR(INDEX(Insumos_CustoUnit,MATCH($C197,Insumos_Ingrediente,0)),0)</f>
        <v>0</v>
      </c>
      <c r="G197" s="19" t="n">
        <f aca="false">$D197*$F197</f>
        <v>0</v>
      </c>
      <c r="H197" s="38" t="n">
        <f aca="false">IF(OR($E197="g",$E197="ml"),$D197,0)</f>
        <v>0</v>
      </c>
      <c r="I197" s="38" t="n">
        <f aca="false">IF($C197="Açaí",1,0)</f>
        <v>0</v>
      </c>
      <c r="J197" s="38" t="n">
        <f aca="false">IF($C197="Banana",1,0)</f>
        <v>0</v>
      </c>
      <c r="K197" s="38" t="n">
        <f aca="false">IF($C197="Whey Protein",1,0)</f>
        <v>0</v>
      </c>
      <c r="L197" s="38" t="n">
        <f aca="false">IF(ISNUMBER(SEARCH("Copo",$C197)),1,0)</f>
        <v>0</v>
      </c>
    </row>
    <row r="198" customFormat="false" ht="15" hidden="false" customHeight="true" outlineLevel="0" collapsed="false">
      <c r="A198" s="29" t="s">
        <v>198</v>
      </c>
      <c r="B198" s="35" t="str">
        <f aca="false">IF($C198="","",IFERROR(INDEX(Insumos_Categoria,MATCH($C198,Insumos_Ingrediente,0)),""))</f>
        <v>Bases (Produção Própria)</v>
      </c>
      <c r="C198" s="29" t="s">
        <v>88</v>
      </c>
      <c r="D198" s="36" t="n">
        <v>470</v>
      </c>
      <c r="E198" s="35" t="str">
        <f aca="false">IF($C198="","",IFERROR(INDEX(Insumos_Unidade,MATCH($C198,Insumos_Ingrediente,0)),""))</f>
        <v>ml</v>
      </c>
      <c r="F198" s="19" t="n">
        <f aca="false">IFERROR(INDEX(Insumos_CustoUnit,MATCH($C198,Insumos_Ingrediente,0)),0)</f>
        <v>0.0165</v>
      </c>
      <c r="G198" s="19" t="n">
        <f aca="false">$D198*$F198</f>
        <v>7.755</v>
      </c>
      <c r="H198" s="37" t="n">
        <f aca="false">IF(OR($E198="g",$E198="ml"),$D198,0)</f>
        <v>470</v>
      </c>
      <c r="I198" s="38" t="n">
        <f aca="false">IF($C198="Açaí",1,0)</f>
        <v>1</v>
      </c>
      <c r="J198" s="38" t="n">
        <f aca="false">IF($C198="Banana",1,0)</f>
        <v>0</v>
      </c>
      <c r="K198" s="38" t="n">
        <f aca="false">IF($C198="Whey Protein",1,0)</f>
        <v>0</v>
      </c>
      <c r="L198" s="38" t="n">
        <f aca="false">IF(ISNUMBER(SEARCH("Copo",$C198)),1,0)</f>
        <v>0</v>
      </c>
    </row>
    <row r="199" customFormat="false" ht="15" hidden="false" customHeight="true" outlineLevel="0" collapsed="false">
      <c r="A199" s="29" t="s">
        <v>198</v>
      </c>
      <c r="B199" s="35" t="str">
        <f aca="false">IF($C199="","",IFERROR(INDEX(Insumos_Categoria,MATCH($C199,Insumos_Ingrediente,0)),""))</f>
        <v>Coberturas (30g)</v>
      </c>
      <c r="C199" s="29" t="s">
        <v>100</v>
      </c>
      <c r="D199" s="36" t="n">
        <v>30</v>
      </c>
      <c r="E199" s="35" t="str">
        <f aca="false">IF($C199="","",IFERROR(INDEX(Insumos_Unidade,MATCH($C199,Insumos_Ingrediente,0)),""))</f>
        <v>g</v>
      </c>
      <c r="F199" s="19" t="n">
        <f aca="false">IFERROR(INDEX(Insumos_CustoUnit,MATCH($C199,Insumos_Ingrediente,0)),0)</f>
        <v>0.00230769230769231</v>
      </c>
      <c r="G199" s="19" t="n">
        <f aca="false">$D199*$F199</f>
        <v>0.0692307692307692</v>
      </c>
      <c r="H199" s="37" t="n">
        <f aca="false">IF(OR($E199="g",$E199="ml"),$D199,0)</f>
        <v>30</v>
      </c>
      <c r="I199" s="38" t="n">
        <f aca="false">IF($C199="Açaí",1,0)</f>
        <v>0</v>
      </c>
      <c r="J199" s="38" t="n">
        <f aca="false">IF($C199="Banana",1,0)</f>
        <v>1</v>
      </c>
      <c r="K199" s="38" t="n">
        <f aca="false">IF($C199="Whey Protein",1,0)</f>
        <v>0</v>
      </c>
      <c r="L199" s="38" t="n">
        <f aca="false">IF(ISNUMBER(SEARCH("Copo",$C199)),1,0)</f>
        <v>0</v>
      </c>
    </row>
    <row r="200" customFormat="false" ht="15" hidden="false" customHeight="true" outlineLevel="0" collapsed="false">
      <c r="A200" s="29" t="s">
        <v>198</v>
      </c>
      <c r="B200" s="35" t="str">
        <f aca="false">IF($C200="","",IFERROR(INDEX(Insumos_Categoria,MATCH($C200,Insumos_Ingrediente,0)),""))</f>
        <v>Coberturas (30g)</v>
      </c>
      <c r="C200" s="29" t="s">
        <v>114</v>
      </c>
      <c r="D200" s="36" t="n">
        <v>30</v>
      </c>
      <c r="E200" s="35" t="str">
        <f aca="false">IF($C200="","",IFERROR(INDEX(Insumos_Unidade,MATCH($C200,Insumos_Ingrediente,0)),""))</f>
        <v>g</v>
      </c>
      <c r="F200" s="19" t="n">
        <f aca="false">IFERROR(INDEX(Insumos_CustoUnit,MATCH($C200,Insumos_Ingrediente,0)),0)</f>
        <v>0</v>
      </c>
      <c r="G200" s="19" t="n">
        <f aca="false">$D200*$F200</f>
        <v>0</v>
      </c>
      <c r="H200" s="37" t="n">
        <f aca="false">IF(OR($E200="g",$E200="ml"),$D200,0)</f>
        <v>30</v>
      </c>
      <c r="I200" s="38" t="n">
        <f aca="false">IF($C200="Açaí",1,0)</f>
        <v>0</v>
      </c>
      <c r="J200" s="38" t="n">
        <f aca="false">IF($C200="Banana",1,0)</f>
        <v>0</v>
      </c>
      <c r="K200" s="38" t="n">
        <f aca="false">IF($C200="Whey Protein",1,0)</f>
        <v>1</v>
      </c>
      <c r="L200" s="38" t="n">
        <f aca="false">IF(ISNUMBER(SEARCH("Copo",$C200)),1,0)</f>
        <v>0</v>
      </c>
    </row>
    <row r="201" customFormat="false" ht="15" hidden="false" customHeight="true" outlineLevel="0" collapsed="false">
      <c r="A201" s="29" t="s">
        <v>198</v>
      </c>
      <c r="B201" s="35" t="str">
        <f aca="false">IF($C201="","",IFERROR(INDEX(Insumos_Categoria,MATCH($C201,Insumos_Ingrediente,0)),""))</f>
        <v>Coberturas (30g)</v>
      </c>
      <c r="C201" s="29" t="s">
        <v>96</v>
      </c>
      <c r="D201" s="36" t="n">
        <v>30</v>
      </c>
      <c r="E201" s="35" t="str">
        <f aca="false">IF($C201="","",IFERROR(INDEX(Insumos_Unidade,MATCH($C201,Insumos_Ingrediente,0)),""))</f>
        <v>g</v>
      </c>
      <c r="F201" s="19" t="n">
        <f aca="false">IFERROR(INDEX(Insumos_CustoUnit,MATCH($C201,Insumos_Ingrediente,0)),0)</f>
        <v>0.03355</v>
      </c>
      <c r="G201" s="19" t="n">
        <f aca="false">$D201*$F201</f>
        <v>1.0065</v>
      </c>
      <c r="H201" s="37" t="n">
        <f aca="false">IF(OR($E201="g",$E201="ml"),$D201,0)</f>
        <v>30</v>
      </c>
      <c r="I201" s="38" t="n">
        <f aca="false">IF($C201="Açaí",1,0)</f>
        <v>0</v>
      </c>
      <c r="J201" s="38" t="n">
        <f aca="false">IF($C201="Banana",1,0)</f>
        <v>0</v>
      </c>
      <c r="K201" s="38" t="n">
        <f aca="false">IF($C201="Whey Protein",1,0)</f>
        <v>0</v>
      </c>
      <c r="L201" s="38" t="n">
        <f aca="false">IF(ISNUMBER(SEARCH("Copo",$C201)),1,0)</f>
        <v>0</v>
      </c>
    </row>
    <row r="202" customFormat="false" ht="15" hidden="false" customHeight="true" outlineLevel="0" collapsed="false">
      <c r="A202" s="29" t="s">
        <v>198</v>
      </c>
      <c r="B202" s="35" t="str">
        <f aca="false">IF($C202="","",IFERROR(INDEX(Insumos_Categoria,MATCH($C202,Insumos_Ingrediente,0)),""))</f>
        <v>Embalagens</v>
      </c>
      <c r="C202" s="29" t="s">
        <v>124</v>
      </c>
      <c r="D202" s="36" t="n">
        <v>1</v>
      </c>
      <c r="E202" s="35" t="str">
        <f aca="false">IF($C202="","",IFERROR(INDEX(Insumos_Unidade,MATCH($C202,Insumos_Ingrediente,0)),""))</f>
        <v>un</v>
      </c>
      <c r="F202" s="19" t="n">
        <f aca="false">IFERROR(INDEX(Insumos_CustoUnit,MATCH($C202,Insumos_Ingrediente,0)),0)</f>
        <v>0.24365</v>
      </c>
      <c r="G202" s="19" t="n">
        <f aca="false">$D202*$F202</f>
        <v>0.24365</v>
      </c>
      <c r="H202" s="38" t="n">
        <f aca="false">IF(OR($E202="g",$E202="ml"),$D202,0)</f>
        <v>0</v>
      </c>
      <c r="I202" s="38" t="n">
        <f aca="false">IF($C202="Açaí",1,0)</f>
        <v>0</v>
      </c>
      <c r="J202" s="38" t="n">
        <f aca="false">IF($C202="Banana",1,0)</f>
        <v>0</v>
      </c>
      <c r="K202" s="38" t="n">
        <f aca="false">IF($C202="Whey Protein",1,0)</f>
        <v>0</v>
      </c>
      <c r="L202" s="38" t="n">
        <f aca="false">IF(ISNUMBER(SEARCH("Copo",$C202)),1,0)</f>
        <v>1</v>
      </c>
    </row>
    <row r="203" customFormat="false" ht="15" hidden="false" customHeight="true" outlineLevel="0" collapsed="false">
      <c r="A203" s="29" t="s">
        <v>198</v>
      </c>
      <c r="B203" s="35" t="str">
        <f aca="false">IF($C203="","",IFERROR(INDEX(Insumos_Categoria,MATCH($C203,Insumos_Ingrediente,0)),""))</f>
        <v>Embalagens</v>
      </c>
      <c r="C203" s="29" t="s">
        <v>127</v>
      </c>
      <c r="D203" s="36" t="n">
        <v>1</v>
      </c>
      <c r="E203" s="35" t="str">
        <f aca="false">IF($C203="","",IFERROR(INDEX(Insumos_Unidade,MATCH($C203,Insumos_Ingrediente,0)),""))</f>
        <v>un</v>
      </c>
      <c r="F203" s="19" t="n">
        <f aca="false">IFERROR(INDEX(Insumos_CustoUnit,MATCH($C203,Insumos_Ingrediente,0)),0)</f>
        <v>0.0923</v>
      </c>
      <c r="G203" s="19" t="n">
        <f aca="false">$D203*$F203</f>
        <v>0.0923</v>
      </c>
      <c r="H203" s="38" t="n">
        <f aca="false">IF(OR($E203="g",$E203="ml"),$D203,0)</f>
        <v>0</v>
      </c>
      <c r="I203" s="38" t="n">
        <f aca="false">IF($C203="Açaí",1,0)</f>
        <v>0</v>
      </c>
      <c r="J203" s="38" t="n">
        <f aca="false">IF($C203="Banana",1,0)</f>
        <v>0</v>
      </c>
      <c r="K203" s="38" t="n">
        <f aca="false">IF($C203="Whey Protein",1,0)</f>
        <v>0</v>
      </c>
      <c r="L203" s="38" t="n">
        <f aca="false">IF(ISNUMBER(SEARCH("Copo",$C203)),1,0)</f>
        <v>0</v>
      </c>
    </row>
    <row r="204" customFormat="false" ht="15" hidden="false" customHeight="true" outlineLevel="0" collapsed="false">
      <c r="A204" s="29" t="s">
        <v>198</v>
      </c>
      <c r="B204" s="35" t="str">
        <f aca="false">IF($C204="","",IFERROR(INDEX(Insumos_Categoria,MATCH($C204,Insumos_Ingrediente,0)),""))</f>
        <v>Consumíveis</v>
      </c>
      <c r="C204" s="29" t="s">
        <v>141</v>
      </c>
      <c r="D204" s="36" t="n">
        <v>1</v>
      </c>
      <c r="E204" s="35" t="str">
        <f aca="false">IF($C204="","",IFERROR(INDEX(Insumos_Unidade,MATCH($C204,Insumos_Ingrediente,0)),""))</f>
        <v>un</v>
      </c>
      <c r="F204" s="19" t="n">
        <f aca="false">IFERROR(INDEX(Insumos_CustoUnit,MATCH($C204,Insumos_Ingrediente,0)),0)</f>
        <v>0.0938</v>
      </c>
      <c r="G204" s="19" t="n">
        <f aca="false">$D204*$F204</f>
        <v>0.0938</v>
      </c>
      <c r="H204" s="38" t="n">
        <f aca="false">IF(OR($E204="g",$E204="ml"),$D204,0)</f>
        <v>0</v>
      </c>
      <c r="I204" s="38" t="n">
        <f aca="false">IF($C204="Açaí",1,0)</f>
        <v>0</v>
      </c>
      <c r="J204" s="38" t="n">
        <f aca="false">IF($C204="Banana",1,0)</f>
        <v>0</v>
      </c>
      <c r="K204" s="38" t="n">
        <f aca="false">IF($C204="Whey Protein",1,0)</f>
        <v>0</v>
      </c>
      <c r="L204" s="38" t="n">
        <f aca="false">IF(ISNUMBER(SEARCH("Copo",$C204)),1,0)</f>
        <v>0</v>
      </c>
    </row>
    <row r="205" customFormat="false" ht="15" hidden="false" customHeight="true" outlineLevel="0" collapsed="false">
      <c r="A205" s="29" t="s">
        <v>198</v>
      </c>
      <c r="B205" s="35" t="str">
        <f aca="false">IF($C205="","",IFERROR(INDEX(Insumos_Categoria,MATCH($C205,Insumos_Ingrediente,0)),""))</f>
        <v>Consumíveis</v>
      </c>
      <c r="C205" s="29" t="s">
        <v>143</v>
      </c>
      <c r="D205" s="36" t="n">
        <v>1</v>
      </c>
      <c r="E205" s="35" t="str">
        <f aca="false">IF($C205="","",IFERROR(INDEX(Insumos_Unidade,MATCH($C205,Insumos_Ingrediente,0)),""))</f>
        <v>un</v>
      </c>
      <c r="F205" s="19" t="n">
        <f aca="false">IFERROR(INDEX(Insumos_CustoUnit,MATCH($C205,Insumos_Ingrediente,0)),0)</f>
        <v>0</v>
      </c>
      <c r="G205" s="19" t="n">
        <f aca="false">$D205*$F205</f>
        <v>0</v>
      </c>
      <c r="H205" s="38" t="n">
        <f aca="false">IF(OR($E205="g",$E205="ml"),$D205,0)</f>
        <v>0</v>
      </c>
      <c r="I205" s="38" t="n">
        <f aca="false">IF($C205="Açaí",1,0)</f>
        <v>0</v>
      </c>
      <c r="J205" s="38" t="n">
        <f aca="false">IF($C205="Banana",1,0)</f>
        <v>0</v>
      </c>
      <c r="K205" s="38" t="n">
        <f aca="false">IF($C205="Whey Protein",1,0)</f>
        <v>0</v>
      </c>
      <c r="L205" s="38" t="n">
        <f aca="false">IF(ISNUMBER(SEARCH("Copo",$C205)),1,0)</f>
        <v>0</v>
      </c>
    </row>
    <row r="206" customFormat="false" ht="15" hidden="false" customHeight="true" outlineLevel="0" collapsed="false">
      <c r="A206" s="29" t="s">
        <v>199</v>
      </c>
      <c r="B206" s="35" t="str">
        <f aca="false">IF($C206="","",IFERROR(INDEX(Insumos_Categoria,MATCH($C206,Insumos_Ingrediente,0)),""))</f>
        <v>Bases (Produção Própria)</v>
      </c>
      <c r="C206" s="29" t="s">
        <v>88</v>
      </c>
      <c r="D206" s="36" t="n">
        <v>170</v>
      </c>
      <c r="E206" s="35" t="str">
        <f aca="false">IF($C206="","",IFERROR(INDEX(Insumos_Unidade,MATCH($C206,Insumos_Ingrediente,0)),""))</f>
        <v>ml</v>
      </c>
      <c r="F206" s="19" t="n">
        <f aca="false">IFERROR(INDEX(Insumos_CustoUnit,MATCH($C206,Insumos_Ingrediente,0)),0)</f>
        <v>0.0165</v>
      </c>
      <c r="G206" s="19" t="n">
        <f aca="false">$D206*$F206</f>
        <v>2.805</v>
      </c>
      <c r="H206" s="37" t="n">
        <f aca="false">IF(OR($E206="g",$E206="ml"),$D206,0)</f>
        <v>170</v>
      </c>
      <c r="I206" s="38" t="n">
        <f aca="false">IF($C206="Açaí",1,0)</f>
        <v>1</v>
      </c>
      <c r="J206" s="38" t="n">
        <f aca="false">IF($C206="Banana",1,0)</f>
        <v>0</v>
      </c>
      <c r="K206" s="38" t="n">
        <f aca="false">IF($C206="Whey Protein",1,0)</f>
        <v>0</v>
      </c>
      <c r="L206" s="38" t="n">
        <f aca="false">IF(ISNUMBER(SEARCH("Copo",$C206)),1,0)</f>
        <v>0</v>
      </c>
    </row>
    <row r="207" customFormat="false" ht="15" hidden="false" customHeight="true" outlineLevel="0" collapsed="false">
      <c r="A207" s="29" t="s">
        <v>199</v>
      </c>
      <c r="B207" s="35" t="str">
        <f aca="false">IF($C207="","",IFERROR(INDEX(Insumos_Categoria,MATCH($C207,Insumos_Ingrediente,0)),""))</f>
        <v>Coberturas (30g)</v>
      </c>
      <c r="C207" s="29" t="s">
        <v>101</v>
      </c>
      <c r="D207" s="36" t="n">
        <v>30</v>
      </c>
      <c r="E207" s="35" t="str">
        <f aca="false">IF($C207="","",IFERROR(INDEX(Insumos_Unidade,MATCH($C207,Insumos_Ingrediente,0)),""))</f>
        <v>g</v>
      </c>
      <c r="F207" s="19" t="n">
        <f aca="false">IFERROR(INDEX(Insumos_CustoUnit,MATCH($C207,Insumos_Ingrediente,0)),0)</f>
        <v>0.0165</v>
      </c>
      <c r="G207" s="19" t="n">
        <f aca="false">$D207*$F207</f>
        <v>0.495</v>
      </c>
      <c r="H207" s="37" t="n">
        <f aca="false">IF(OR($E207="g",$E207="ml"),$D207,0)</f>
        <v>30</v>
      </c>
      <c r="I207" s="38" t="n">
        <f aca="false">IF($C207="Açaí",1,0)</f>
        <v>0</v>
      </c>
      <c r="J207" s="38" t="n">
        <f aca="false">IF($C207="Banana",1,0)</f>
        <v>0</v>
      </c>
      <c r="K207" s="38" t="n">
        <f aca="false">IF($C207="Whey Protein",1,0)</f>
        <v>0</v>
      </c>
      <c r="L207" s="38" t="n">
        <f aca="false">IF(ISNUMBER(SEARCH("Copo",$C207)),1,0)</f>
        <v>0</v>
      </c>
    </row>
    <row r="208" customFormat="false" ht="15" hidden="false" customHeight="true" outlineLevel="0" collapsed="false">
      <c r="A208" s="29" t="s">
        <v>199</v>
      </c>
      <c r="B208" s="35" t="str">
        <f aca="false">IF($C208="","",IFERROR(INDEX(Insumos_Categoria,MATCH($C208,Insumos_Ingrediente,0)),""))</f>
        <v>Coberturas (30g)</v>
      </c>
      <c r="C208" s="29" t="s">
        <v>114</v>
      </c>
      <c r="D208" s="36" t="n">
        <v>30</v>
      </c>
      <c r="E208" s="35" t="str">
        <f aca="false">IF($C208="","",IFERROR(INDEX(Insumos_Unidade,MATCH($C208,Insumos_Ingrediente,0)),""))</f>
        <v>g</v>
      </c>
      <c r="F208" s="19" t="n">
        <f aca="false">IFERROR(INDEX(Insumos_CustoUnit,MATCH($C208,Insumos_Ingrediente,0)),0)</f>
        <v>0</v>
      </c>
      <c r="G208" s="19" t="n">
        <f aca="false">$D208*$F208</f>
        <v>0</v>
      </c>
      <c r="H208" s="37" t="n">
        <f aca="false">IF(OR($E208="g",$E208="ml"),$D208,0)</f>
        <v>30</v>
      </c>
      <c r="I208" s="38" t="n">
        <f aca="false">IF($C208="Açaí",1,0)</f>
        <v>0</v>
      </c>
      <c r="J208" s="38" t="n">
        <f aca="false">IF($C208="Banana",1,0)</f>
        <v>0</v>
      </c>
      <c r="K208" s="38" t="n">
        <f aca="false">IF($C208="Whey Protein",1,0)</f>
        <v>1</v>
      </c>
      <c r="L208" s="38" t="n">
        <f aca="false">IF(ISNUMBER(SEARCH("Copo",$C208)),1,0)</f>
        <v>0</v>
      </c>
    </row>
    <row r="209" customFormat="false" ht="15" hidden="false" customHeight="true" outlineLevel="0" collapsed="false">
      <c r="A209" s="29" t="s">
        <v>199</v>
      </c>
      <c r="B209" s="35" t="str">
        <f aca="false">IF($C209="","",IFERROR(INDEX(Insumos_Categoria,MATCH($C209,Insumos_Ingrediente,0)),""))</f>
        <v>Coberturas (30g)</v>
      </c>
      <c r="C209" s="29" t="s">
        <v>102</v>
      </c>
      <c r="D209" s="36" t="n">
        <v>30</v>
      </c>
      <c r="E209" s="35" t="str">
        <f aca="false">IF($C209="","",IFERROR(INDEX(Insumos_Unidade,MATCH($C209,Insumos_Ingrediente,0)),""))</f>
        <v>g</v>
      </c>
      <c r="F209" s="19" t="n">
        <f aca="false">IFERROR(INDEX(Insumos_CustoUnit,MATCH($C209,Insumos_Ingrediente,0)),0)</f>
        <v>0.02</v>
      </c>
      <c r="G209" s="19" t="n">
        <f aca="false">$D209*$F209</f>
        <v>0.6</v>
      </c>
      <c r="H209" s="37" t="n">
        <f aca="false">IF(OR($E209="g",$E209="ml"),$D209,0)</f>
        <v>30</v>
      </c>
      <c r="I209" s="38" t="n">
        <f aca="false">IF($C209="Açaí",1,0)</f>
        <v>0</v>
      </c>
      <c r="J209" s="38" t="n">
        <f aca="false">IF($C209="Banana",1,0)</f>
        <v>0</v>
      </c>
      <c r="K209" s="38" t="n">
        <f aca="false">IF($C209="Whey Protein",1,0)</f>
        <v>0</v>
      </c>
      <c r="L209" s="38" t="n">
        <f aca="false">IF(ISNUMBER(SEARCH("Copo",$C209)),1,0)</f>
        <v>0</v>
      </c>
    </row>
    <row r="210" customFormat="false" ht="15" hidden="false" customHeight="true" outlineLevel="0" collapsed="false">
      <c r="A210" s="29" t="s">
        <v>199</v>
      </c>
      <c r="B210" s="35" t="str">
        <f aca="false">IF($C210="","",IFERROR(INDEX(Insumos_Categoria,MATCH($C210,Insumos_Ingrediente,0)),""))</f>
        <v>Embalagens</v>
      </c>
      <c r="C210" s="29" t="s">
        <v>120</v>
      </c>
      <c r="D210" s="36" t="n">
        <v>1</v>
      </c>
      <c r="E210" s="35" t="str">
        <f aca="false">IF($C210="","",IFERROR(INDEX(Insumos_Unidade,MATCH($C210,Insumos_Ingrediente,0)),""))</f>
        <v>un</v>
      </c>
      <c r="F210" s="19" t="n">
        <f aca="false">IFERROR(INDEX(Insumos_CustoUnit,MATCH($C210,Insumos_Ingrediente,0)),0)</f>
        <v>0.1668</v>
      </c>
      <c r="G210" s="19" t="n">
        <f aca="false">$D210*$F210</f>
        <v>0.1668</v>
      </c>
      <c r="H210" s="38" t="n">
        <f aca="false">IF(OR($E210="g",$E210="ml"),$D210,0)</f>
        <v>0</v>
      </c>
      <c r="I210" s="38" t="n">
        <f aca="false">IF($C210="Açaí",1,0)</f>
        <v>0</v>
      </c>
      <c r="J210" s="38" t="n">
        <f aca="false">IF($C210="Banana",1,0)</f>
        <v>0</v>
      </c>
      <c r="K210" s="38" t="n">
        <f aca="false">IF($C210="Whey Protein",1,0)</f>
        <v>0</v>
      </c>
      <c r="L210" s="38" t="n">
        <f aca="false">IF(ISNUMBER(SEARCH("Copo",$C210)),1,0)</f>
        <v>1</v>
      </c>
    </row>
    <row r="211" customFormat="false" ht="15" hidden="false" customHeight="true" outlineLevel="0" collapsed="false">
      <c r="A211" s="29" t="s">
        <v>199</v>
      </c>
      <c r="B211" s="35" t="str">
        <f aca="false">IF($C211="","",IFERROR(INDEX(Insumos_Categoria,MATCH($C211,Insumos_Ingrediente,0)),""))</f>
        <v>Embalagens</v>
      </c>
      <c r="C211" s="29" t="s">
        <v>125</v>
      </c>
      <c r="D211" s="36" t="n">
        <v>1</v>
      </c>
      <c r="E211" s="35" t="str">
        <f aca="false">IF($C211="","",IFERROR(INDEX(Insumos_Unidade,MATCH($C211,Insumos_Ingrediente,0)),""))</f>
        <v>un</v>
      </c>
      <c r="F211" s="19" t="n">
        <f aca="false">IFERROR(INDEX(Insumos_CustoUnit,MATCH($C211,Insumos_Ingrediente,0)),0)</f>
        <v>0.0823</v>
      </c>
      <c r="G211" s="19" t="n">
        <f aca="false">$D211*$F211</f>
        <v>0.0823</v>
      </c>
      <c r="H211" s="38" t="n">
        <f aca="false">IF(OR($E211="g",$E211="ml"),$D211,0)</f>
        <v>0</v>
      </c>
      <c r="I211" s="38" t="n">
        <f aca="false">IF($C211="Açaí",1,0)</f>
        <v>0</v>
      </c>
      <c r="J211" s="38" t="n">
        <f aca="false">IF($C211="Banana",1,0)</f>
        <v>0</v>
      </c>
      <c r="K211" s="38" t="n">
        <f aca="false">IF($C211="Whey Protein",1,0)</f>
        <v>0</v>
      </c>
      <c r="L211" s="38" t="n">
        <f aca="false">IF(ISNUMBER(SEARCH("Copo",$C211)),1,0)</f>
        <v>0</v>
      </c>
    </row>
    <row r="212" customFormat="false" ht="15" hidden="false" customHeight="true" outlineLevel="0" collapsed="false">
      <c r="A212" s="29" t="s">
        <v>199</v>
      </c>
      <c r="B212" s="35" t="str">
        <f aca="false">IF($C212="","",IFERROR(INDEX(Insumos_Categoria,MATCH($C212,Insumos_Ingrediente,0)),""))</f>
        <v>Consumíveis</v>
      </c>
      <c r="C212" s="29" t="s">
        <v>141</v>
      </c>
      <c r="D212" s="36" t="n">
        <v>1</v>
      </c>
      <c r="E212" s="35" t="str">
        <f aca="false">IF($C212="","",IFERROR(INDEX(Insumos_Unidade,MATCH($C212,Insumos_Ingrediente,0)),""))</f>
        <v>un</v>
      </c>
      <c r="F212" s="19" t="n">
        <f aca="false">IFERROR(INDEX(Insumos_CustoUnit,MATCH($C212,Insumos_Ingrediente,0)),0)</f>
        <v>0.0938</v>
      </c>
      <c r="G212" s="19" t="n">
        <f aca="false">$D212*$F212</f>
        <v>0.0938</v>
      </c>
      <c r="H212" s="38" t="n">
        <f aca="false">IF(OR($E212="g",$E212="ml"),$D212,0)</f>
        <v>0</v>
      </c>
      <c r="I212" s="38" t="n">
        <f aca="false">IF($C212="Açaí",1,0)</f>
        <v>0</v>
      </c>
      <c r="J212" s="38" t="n">
        <f aca="false">IF($C212="Banana",1,0)</f>
        <v>0</v>
      </c>
      <c r="K212" s="38" t="n">
        <f aca="false">IF($C212="Whey Protein",1,0)</f>
        <v>0</v>
      </c>
      <c r="L212" s="38" t="n">
        <f aca="false">IF(ISNUMBER(SEARCH("Copo",$C212)),1,0)</f>
        <v>0</v>
      </c>
    </row>
    <row r="213" customFormat="false" ht="15" hidden="false" customHeight="true" outlineLevel="0" collapsed="false">
      <c r="A213" s="29" t="s">
        <v>199</v>
      </c>
      <c r="B213" s="35" t="str">
        <f aca="false">IF($C213="","",IFERROR(INDEX(Insumos_Categoria,MATCH($C213,Insumos_Ingrediente,0)),""))</f>
        <v>Consumíveis</v>
      </c>
      <c r="C213" s="29" t="s">
        <v>143</v>
      </c>
      <c r="D213" s="36" t="n">
        <v>1</v>
      </c>
      <c r="E213" s="35" t="str">
        <f aca="false">IF($C213="","",IFERROR(INDEX(Insumos_Unidade,MATCH($C213,Insumos_Ingrediente,0)),""))</f>
        <v>un</v>
      </c>
      <c r="F213" s="19" t="n">
        <f aca="false">IFERROR(INDEX(Insumos_CustoUnit,MATCH($C213,Insumos_Ingrediente,0)),0)</f>
        <v>0</v>
      </c>
      <c r="G213" s="19" t="n">
        <f aca="false">$D213*$F213</f>
        <v>0</v>
      </c>
      <c r="H213" s="38" t="n">
        <f aca="false">IF(OR($E213="g",$E213="ml"),$D213,0)</f>
        <v>0</v>
      </c>
      <c r="I213" s="38" t="n">
        <f aca="false">IF($C213="Açaí",1,0)</f>
        <v>0</v>
      </c>
      <c r="J213" s="38" t="n">
        <f aca="false">IF($C213="Banana",1,0)</f>
        <v>0</v>
      </c>
      <c r="K213" s="38" t="n">
        <f aca="false">IF($C213="Whey Protein",1,0)</f>
        <v>0</v>
      </c>
      <c r="L213" s="38" t="n">
        <f aca="false">IF(ISNUMBER(SEARCH("Copo",$C213)),1,0)</f>
        <v>0</v>
      </c>
    </row>
    <row r="214" customFormat="false" ht="15" hidden="false" customHeight="true" outlineLevel="0" collapsed="false">
      <c r="A214" s="29" t="s">
        <v>200</v>
      </c>
      <c r="B214" s="35" t="str">
        <f aca="false">IF($C214="","",IFERROR(INDEX(Insumos_Categoria,MATCH($C214,Insumos_Ingrediente,0)),""))</f>
        <v>Bases (Produção Própria)</v>
      </c>
      <c r="C214" s="29" t="s">
        <v>88</v>
      </c>
      <c r="D214" s="36" t="n">
        <v>270</v>
      </c>
      <c r="E214" s="35" t="str">
        <f aca="false">IF($C214="","",IFERROR(INDEX(Insumos_Unidade,MATCH($C214,Insumos_Ingrediente,0)),""))</f>
        <v>ml</v>
      </c>
      <c r="F214" s="19" t="n">
        <f aca="false">IFERROR(INDEX(Insumos_CustoUnit,MATCH($C214,Insumos_Ingrediente,0)),0)</f>
        <v>0.0165</v>
      </c>
      <c r="G214" s="19" t="n">
        <f aca="false">$D214*$F214</f>
        <v>4.455</v>
      </c>
      <c r="H214" s="37" t="n">
        <f aca="false">IF(OR($E214="g",$E214="ml"),$D214,0)</f>
        <v>270</v>
      </c>
      <c r="I214" s="38" t="n">
        <f aca="false">IF($C214="Açaí",1,0)</f>
        <v>1</v>
      </c>
      <c r="J214" s="38" t="n">
        <f aca="false">IF($C214="Banana",1,0)</f>
        <v>0</v>
      </c>
      <c r="K214" s="38" t="n">
        <f aca="false">IF($C214="Whey Protein",1,0)</f>
        <v>0</v>
      </c>
      <c r="L214" s="38" t="n">
        <f aca="false">IF(ISNUMBER(SEARCH("Copo",$C214)),1,0)</f>
        <v>0</v>
      </c>
    </row>
    <row r="215" customFormat="false" ht="15" hidden="false" customHeight="true" outlineLevel="0" collapsed="false">
      <c r="A215" s="29" t="s">
        <v>200</v>
      </c>
      <c r="B215" s="35" t="str">
        <f aca="false">IF($C215="","",IFERROR(INDEX(Insumos_Categoria,MATCH($C215,Insumos_Ingrediente,0)),""))</f>
        <v>Coberturas (30g)</v>
      </c>
      <c r="C215" s="29" t="s">
        <v>101</v>
      </c>
      <c r="D215" s="36" t="n">
        <v>30</v>
      </c>
      <c r="E215" s="35" t="str">
        <f aca="false">IF($C215="","",IFERROR(INDEX(Insumos_Unidade,MATCH($C215,Insumos_Ingrediente,0)),""))</f>
        <v>g</v>
      </c>
      <c r="F215" s="19" t="n">
        <f aca="false">IFERROR(INDEX(Insumos_CustoUnit,MATCH($C215,Insumos_Ingrediente,0)),0)</f>
        <v>0.0165</v>
      </c>
      <c r="G215" s="19" t="n">
        <f aca="false">$D215*$F215</f>
        <v>0.495</v>
      </c>
      <c r="H215" s="37" t="n">
        <f aca="false">IF(OR($E215="g",$E215="ml"),$D215,0)</f>
        <v>30</v>
      </c>
      <c r="I215" s="38" t="n">
        <f aca="false">IF($C215="Açaí",1,0)</f>
        <v>0</v>
      </c>
      <c r="J215" s="38" t="n">
        <f aca="false">IF($C215="Banana",1,0)</f>
        <v>0</v>
      </c>
      <c r="K215" s="38" t="n">
        <f aca="false">IF($C215="Whey Protein",1,0)</f>
        <v>0</v>
      </c>
      <c r="L215" s="38" t="n">
        <f aca="false">IF(ISNUMBER(SEARCH("Copo",$C215)),1,0)</f>
        <v>0</v>
      </c>
    </row>
    <row r="216" customFormat="false" ht="15" hidden="false" customHeight="true" outlineLevel="0" collapsed="false">
      <c r="A216" s="29" t="s">
        <v>200</v>
      </c>
      <c r="B216" s="35" t="str">
        <f aca="false">IF($C216="","",IFERROR(INDEX(Insumos_Categoria,MATCH($C216,Insumos_Ingrediente,0)),""))</f>
        <v>Coberturas (30g)</v>
      </c>
      <c r="C216" s="29" t="s">
        <v>114</v>
      </c>
      <c r="D216" s="36" t="n">
        <v>30</v>
      </c>
      <c r="E216" s="35" t="str">
        <f aca="false">IF($C216="","",IFERROR(INDEX(Insumos_Unidade,MATCH($C216,Insumos_Ingrediente,0)),""))</f>
        <v>g</v>
      </c>
      <c r="F216" s="19" t="n">
        <f aca="false">IFERROR(INDEX(Insumos_CustoUnit,MATCH($C216,Insumos_Ingrediente,0)),0)</f>
        <v>0</v>
      </c>
      <c r="G216" s="19" t="n">
        <f aca="false">$D216*$F216</f>
        <v>0</v>
      </c>
      <c r="H216" s="37" t="n">
        <f aca="false">IF(OR($E216="g",$E216="ml"),$D216,0)</f>
        <v>30</v>
      </c>
      <c r="I216" s="38" t="n">
        <f aca="false">IF($C216="Açaí",1,0)</f>
        <v>0</v>
      </c>
      <c r="J216" s="38" t="n">
        <f aca="false">IF($C216="Banana",1,0)</f>
        <v>0</v>
      </c>
      <c r="K216" s="38" t="n">
        <f aca="false">IF($C216="Whey Protein",1,0)</f>
        <v>1</v>
      </c>
      <c r="L216" s="38" t="n">
        <f aca="false">IF(ISNUMBER(SEARCH("Copo",$C216)),1,0)</f>
        <v>0</v>
      </c>
    </row>
    <row r="217" customFormat="false" ht="15" hidden="false" customHeight="true" outlineLevel="0" collapsed="false">
      <c r="A217" s="29" t="s">
        <v>200</v>
      </c>
      <c r="B217" s="35" t="str">
        <f aca="false">IF($C217="","",IFERROR(INDEX(Insumos_Categoria,MATCH($C217,Insumos_Ingrediente,0)),""))</f>
        <v>Coberturas (30g)</v>
      </c>
      <c r="C217" s="29" t="s">
        <v>102</v>
      </c>
      <c r="D217" s="36" t="n">
        <v>30</v>
      </c>
      <c r="E217" s="35" t="str">
        <f aca="false">IF($C217="","",IFERROR(INDEX(Insumos_Unidade,MATCH($C217,Insumos_Ingrediente,0)),""))</f>
        <v>g</v>
      </c>
      <c r="F217" s="19" t="n">
        <f aca="false">IFERROR(INDEX(Insumos_CustoUnit,MATCH($C217,Insumos_Ingrediente,0)),0)</f>
        <v>0.02</v>
      </c>
      <c r="G217" s="19" t="n">
        <f aca="false">$D217*$F217</f>
        <v>0.6</v>
      </c>
      <c r="H217" s="37" t="n">
        <f aca="false">IF(OR($E217="g",$E217="ml"),$D217,0)</f>
        <v>30</v>
      </c>
      <c r="I217" s="38" t="n">
        <f aca="false">IF($C217="Açaí",1,0)</f>
        <v>0</v>
      </c>
      <c r="J217" s="38" t="n">
        <f aca="false">IF($C217="Banana",1,0)</f>
        <v>0</v>
      </c>
      <c r="K217" s="38" t="n">
        <f aca="false">IF($C217="Whey Protein",1,0)</f>
        <v>0</v>
      </c>
      <c r="L217" s="38" t="n">
        <f aca="false">IF(ISNUMBER(SEARCH("Copo",$C217)),1,0)</f>
        <v>0</v>
      </c>
    </row>
    <row r="218" customFormat="false" ht="15" hidden="false" customHeight="true" outlineLevel="0" collapsed="false">
      <c r="A218" s="29" t="s">
        <v>200</v>
      </c>
      <c r="B218" s="35" t="str">
        <f aca="false">IF($C218="","",IFERROR(INDEX(Insumos_Categoria,MATCH($C218,Insumos_Ingrediente,0)),""))</f>
        <v>Embalagens</v>
      </c>
      <c r="C218" s="29" t="s">
        <v>123</v>
      </c>
      <c r="D218" s="36" t="n">
        <v>1</v>
      </c>
      <c r="E218" s="35" t="str">
        <f aca="false">IF($C218="","",IFERROR(INDEX(Insumos_Unidade,MATCH($C218,Insumos_Ingrediente,0)),""))</f>
        <v>un</v>
      </c>
      <c r="F218" s="19" t="n">
        <f aca="false">IFERROR(INDEX(Insumos_CustoUnit,MATCH($C218,Insumos_Ingrediente,0)),0)</f>
        <v>0.15372</v>
      </c>
      <c r="G218" s="19" t="n">
        <f aca="false">$D218*$F218</f>
        <v>0.15372</v>
      </c>
      <c r="H218" s="38" t="n">
        <f aca="false">IF(OR($E218="g",$E218="ml"),$D218,0)</f>
        <v>0</v>
      </c>
      <c r="I218" s="38" t="n">
        <f aca="false">IF($C218="Açaí",1,0)</f>
        <v>0</v>
      </c>
      <c r="J218" s="38" t="n">
        <f aca="false">IF($C218="Banana",1,0)</f>
        <v>0</v>
      </c>
      <c r="K218" s="38" t="n">
        <f aca="false">IF($C218="Whey Protein",1,0)</f>
        <v>0</v>
      </c>
      <c r="L218" s="38" t="n">
        <f aca="false">IF(ISNUMBER(SEARCH("Copo",$C218)),1,0)</f>
        <v>1</v>
      </c>
    </row>
    <row r="219" customFormat="false" ht="15" hidden="false" customHeight="true" outlineLevel="0" collapsed="false">
      <c r="A219" s="29" t="s">
        <v>200</v>
      </c>
      <c r="B219" s="35" t="str">
        <f aca="false">IF($C219="","",IFERROR(INDEX(Insumos_Categoria,MATCH($C219,Insumos_Ingrediente,0)),""))</f>
        <v>Embalagens</v>
      </c>
      <c r="C219" s="29" t="s">
        <v>126</v>
      </c>
      <c r="D219" s="36" t="n">
        <v>1</v>
      </c>
      <c r="E219" s="35" t="str">
        <f aca="false">IF($C219="","",IFERROR(INDEX(Insumos_Unidade,MATCH($C219,Insumos_Ingrediente,0)),""))</f>
        <v>un</v>
      </c>
      <c r="F219" s="19" t="n">
        <f aca="false">IFERROR(INDEX(Insumos_CustoUnit,MATCH($C219,Insumos_Ingrediente,0)),0)</f>
        <v>0.0823</v>
      </c>
      <c r="G219" s="19" t="n">
        <f aca="false">$D219*$F219</f>
        <v>0.0823</v>
      </c>
      <c r="H219" s="38" t="n">
        <f aca="false">IF(OR($E219="g",$E219="ml"),$D219,0)</f>
        <v>0</v>
      </c>
      <c r="I219" s="38" t="n">
        <f aca="false">IF($C219="Açaí",1,0)</f>
        <v>0</v>
      </c>
      <c r="J219" s="38" t="n">
        <f aca="false">IF($C219="Banana",1,0)</f>
        <v>0</v>
      </c>
      <c r="K219" s="38" t="n">
        <f aca="false">IF($C219="Whey Protein",1,0)</f>
        <v>0</v>
      </c>
      <c r="L219" s="38" t="n">
        <f aca="false">IF(ISNUMBER(SEARCH("Copo",$C219)),1,0)</f>
        <v>0</v>
      </c>
    </row>
    <row r="220" customFormat="false" ht="15" hidden="false" customHeight="true" outlineLevel="0" collapsed="false">
      <c r="A220" s="29" t="s">
        <v>200</v>
      </c>
      <c r="B220" s="35" t="str">
        <f aca="false">IF($C220="","",IFERROR(INDEX(Insumos_Categoria,MATCH($C220,Insumos_Ingrediente,0)),""))</f>
        <v>Consumíveis</v>
      </c>
      <c r="C220" s="29" t="s">
        <v>141</v>
      </c>
      <c r="D220" s="36" t="n">
        <v>1</v>
      </c>
      <c r="E220" s="35" t="str">
        <f aca="false">IF($C220="","",IFERROR(INDEX(Insumos_Unidade,MATCH($C220,Insumos_Ingrediente,0)),""))</f>
        <v>un</v>
      </c>
      <c r="F220" s="19" t="n">
        <f aca="false">IFERROR(INDEX(Insumos_CustoUnit,MATCH($C220,Insumos_Ingrediente,0)),0)</f>
        <v>0.0938</v>
      </c>
      <c r="G220" s="19" t="n">
        <f aca="false">$D220*$F220</f>
        <v>0.0938</v>
      </c>
      <c r="H220" s="38" t="n">
        <f aca="false">IF(OR($E220="g",$E220="ml"),$D220,0)</f>
        <v>0</v>
      </c>
      <c r="I220" s="38" t="n">
        <f aca="false">IF($C220="Açaí",1,0)</f>
        <v>0</v>
      </c>
      <c r="J220" s="38" t="n">
        <f aca="false">IF($C220="Banana",1,0)</f>
        <v>0</v>
      </c>
      <c r="K220" s="38" t="n">
        <f aca="false">IF($C220="Whey Protein",1,0)</f>
        <v>0</v>
      </c>
      <c r="L220" s="38" t="n">
        <f aca="false">IF(ISNUMBER(SEARCH("Copo",$C220)),1,0)</f>
        <v>0</v>
      </c>
    </row>
    <row r="221" customFormat="false" ht="15" hidden="false" customHeight="true" outlineLevel="0" collapsed="false">
      <c r="A221" s="29" t="s">
        <v>200</v>
      </c>
      <c r="B221" s="35" t="str">
        <f aca="false">IF($C221="","",IFERROR(INDEX(Insumos_Categoria,MATCH($C221,Insumos_Ingrediente,0)),""))</f>
        <v>Consumíveis</v>
      </c>
      <c r="C221" s="29" t="s">
        <v>143</v>
      </c>
      <c r="D221" s="36" t="n">
        <v>1</v>
      </c>
      <c r="E221" s="35" t="str">
        <f aca="false">IF($C221="","",IFERROR(INDEX(Insumos_Unidade,MATCH($C221,Insumos_Ingrediente,0)),""))</f>
        <v>un</v>
      </c>
      <c r="F221" s="19" t="n">
        <f aca="false">IFERROR(INDEX(Insumos_CustoUnit,MATCH($C221,Insumos_Ingrediente,0)),0)</f>
        <v>0</v>
      </c>
      <c r="G221" s="19" t="n">
        <f aca="false">$D221*$F221</f>
        <v>0</v>
      </c>
      <c r="H221" s="38" t="n">
        <f aca="false">IF(OR($E221="g",$E221="ml"),$D221,0)</f>
        <v>0</v>
      </c>
      <c r="I221" s="38" t="n">
        <f aca="false">IF($C221="Açaí",1,0)</f>
        <v>0</v>
      </c>
      <c r="J221" s="38" t="n">
        <f aca="false">IF($C221="Banana",1,0)</f>
        <v>0</v>
      </c>
      <c r="K221" s="38" t="n">
        <f aca="false">IF($C221="Whey Protein",1,0)</f>
        <v>0</v>
      </c>
      <c r="L221" s="38" t="n">
        <f aca="false">IF(ISNUMBER(SEARCH("Copo",$C221)),1,0)</f>
        <v>0</v>
      </c>
    </row>
    <row r="222" customFormat="false" ht="15" hidden="false" customHeight="true" outlineLevel="0" collapsed="false">
      <c r="A222" s="29" t="s">
        <v>201</v>
      </c>
      <c r="B222" s="35" t="str">
        <f aca="false">IF($C222="","",IFERROR(INDEX(Insumos_Categoria,MATCH($C222,Insumos_Ingrediente,0)),""))</f>
        <v>Bases (Produção Própria)</v>
      </c>
      <c r="C222" s="29" t="s">
        <v>88</v>
      </c>
      <c r="D222" s="36" t="n">
        <v>470</v>
      </c>
      <c r="E222" s="35" t="str">
        <f aca="false">IF($C222="","",IFERROR(INDEX(Insumos_Unidade,MATCH($C222,Insumos_Ingrediente,0)),""))</f>
        <v>ml</v>
      </c>
      <c r="F222" s="19" t="n">
        <f aca="false">IFERROR(INDEX(Insumos_CustoUnit,MATCH($C222,Insumos_Ingrediente,0)),0)</f>
        <v>0.0165</v>
      </c>
      <c r="G222" s="19" t="n">
        <f aca="false">$D222*$F222</f>
        <v>7.755</v>
      </c>
      <c r="H222" s="37" t="n">
        <f aca="false">IF(OR($E222="g",$E222="ml"),$D222,0)</f>
        <v>470</v>
      </c>
      <c r="I222" s="38" t="n">
        <f aca="false">IF($C222="Açaí",1,0)</f>
        <v>1</v>
      </c>
      <c r="J222" s="38" t="n">
        <f aca="false">IF($C222="Banana",1,0)</f>
        <v>0</v>
      </c>
      <c r="K222" s="38" t="n">
        <f aca="false">IF($C222="Whey Protein",1,0)</f>
        <v>0</v>
      </c>
      <c r="L222" s="38" t="n">
        <f aca="false">IF(ISNUMBER(SEARCH("Copo",$C222)),1,0)</f>
        <v>0</v>
      </c>
    </row>
    <row r="223" customFormat="false" ht="15" hidden="false" customHeight="true" outlineLevel="0" collapsed="false">
      <c r="A223" s="29" t="s">
        <v>201</v>
      </c>
      <c r="B223" s="35" t="str">
        <f aca="false">IF($C223="","",IFERROR(INDEX(Insumos_Categoria,MATCH($C223,Insumos_Ingrediente,0)),""))</f>
        <v>Coberturas (30g)</v>
      </c>
      <c r="C223" s="29" t="s">
        <v>101</v>
      </c>
      <c r="D223" s="36" t="n">
        <v>30</v>
      </c>
      <c r="E223" s="35" t="str">
        <f aca="false">IF($C223="","",IFERROR(INDEX(Insumos_Unidade,MATCH($C223,Insumos_Ingrediente,0)),""))</f>
        <v>g</v>
      </c>
      <c r="F223" s="19" t="n">
        <f aca="false">IFERROR(INDEX(Insumos_CustoUnit,MATCH($C223,Insumos_Ingrediente,0)),0)</f>
        <v>0.0165</v>
      </c>
      <c r="G223" s="19" t="n">
        <f aca="false">$D223*$F223</f>
        <v>0.495</v>
      </c>
      <c r="H223" s="37" t="n">
        <f aca="false">IF(OR($E223="g",$E223="ml"),$D223,0)</f>
        <v>30</v>
      </c>
      <c r="I223" s="38" t="n">
        <f aca="false">IF($C223="Açaí",1,0)</f>
        <v>0</v>
      </c>
      <c r="J223" s="38" t="n">
        <f aca="false">IF($C223="Banana",1,0)</f>
        <v>0</v>
      </c>
      <c r="K223" s="38" t="n">
        <f aca="false">IF($C223="Whey Protein",1,0)</f>
        <v>0</v>
      </c>
      <c r="L223" s="38" t="n">
        <f aca="false">IF(ISNUMBER(SEARCH("Copo",$C223)),1,0)</f>
        <v>0</v>
      </c>
    </row>
    <row r="224" customFormat="false" ht="15" hidden="false" customHeight="true" outlineLevel="0" collapsed="false">
      <c r="A224" s="29" t="s">
        <v>201</v>
      </c>
      <c r="B224" s="35" t="str">
        <f aca="false">IF($C224="","",IFERROR(INDEX(Insumos_Categoria,MATCH($C224,Insumos_Ingrediente,0)),""))</f>
        <v>Coberturas (30g)</v>
      </c>
      <c r="C224" s="29" t="s">
        <v>114</v>
      </c>
      <c r="D224" s="36" t="n">
        <v>30</v>
      </c>
      <c r="E224" s="35" t="str">
        <f aca="false">IF($C224="","",IFERROR(INDEX(Insumos_Unidade,MATCH($C224,Insumos_Ingrediente,0)),""))</f>
        <v>g</v>
      </c>
      <c r="F224" s="19" t="n">
        <f aca="false">IFERROR(INDEX(Insumos_CustoUnit,MATCH($C224,Insumos_Ingrediente,0)),0)</f>
        <v>0</v>
      </c>
      <c r="G224" s="19" t="n">
        <f aca="false">$D224*$F224</f>
        <v>0</v>
      </c>
      <c r="H224" s="37" t="n">
        <f aca="false">IF(OR($E224="g",$E224="ml"),$D224,0)</f>
        <v>30</v>
      </c>
      <c r="I224" s="38" t="n">
        <f aca="false">IF($C224="Açaí",1,0)</f>
        <v>0</v>
      </c>
      <c r="J224" s="38" t="n">
        <f aca="false">IF($C224="Banana",1,0)</f>
        <v>0</v>
      </c>
      <c r="K224" s="38" t="n">
        <f aca="false">IF($C224="Whey Protein",1,0)</f>
        <v>1</v>
      </c>
      <c r="L224" s="38" t="n">
        <f aca="false">IF(ISNUMBER(SEARCH("Copo",$C224)),1,0)</f>
        <v>0</v>
      </c>
    </row>
    <row r="225" customFormat="false" ht="15" hidden="false" customHeight="true" outlineLevel="0" collapsed="false">
      <c r="A225" s="29" t="s">
        <v>201</v>
      </c>
      <c r="B225" s="35" t="str">
        <f aca="false">IF($C225="","",IFERROR(INDEX(Insumos_Categoria,MATCH($C225,Insumos_Ingrediente,0)),""))</f>
        <v>Coberturas (30g)</v>
      </c>
      <c r="C225" s="29" t="s">
        <v>102</v>
      </c>
      <c r="D225" s="36" t="n">
        <v>30</v>
      </c>
      <c r="E225" s="35" t="str">
        <f aca="false">IF($C225="","",IFERROR(INDEX(Insumos_Unidade,MATCH($C225,Insumos_Ingrediente,0)),""))</f>
        <v>g</v>
      </c>
      <c r="F225" s="19" t="n">
        <f aca="false">IFERROR(INDEX(Insumos_CustoUnit,MATCH($C225,Insumos_Ingrediente,0)),0)</f>
        <v>0.02</v>
      </c>
      <c r="G225" s="19" t="n">
        <f aca="false">$D225*$F225</f>
        <v>0.6</v>
      </c>
      <c r="H225" s="37" t="n">
        <f aca="false">IF(OR($E225="g",$E225="ml"),$D225,0)</f>
        <v>30</v>
      </c>
      <c r="I225" s="38" t="n">
        <f aca="false">IF($C225="Açaí",1,0)</f>
        <v>0</v>
      </c>
      <c r="J225" s="38" t="n">
        <f aca="false">IF($C225="Banana",1,0)</f>
        <v>0</v>
      </c>
      <c r="K225" s="38" t="n">
        <f aca="false">IF($C225="Whey Protein",1,0)</f>
        <v>0</v>
      </c>
      <c r="L225" s="38" t="n">
        <f aca="false">IF(ISNUMBER(SEARCH("Copo",$C225)),1,0)</f>
        <v>0</v>
      </c>
    </row>
    <row r="226" customFormat="false" ht="15" hidden="false" customHeight="true" outlineLevel="0" collapsed="false">
      <c r="A226" s="29" t="s">
        <v>201</v>
      </c>
      <c r="B226" s="35" t="str">
        <f aca="false">IF($C226="","",IFERROR(INDEX(Insumos_Categoria,MATCH($C226,Insumos_Ingrediente,0)),""))</f>
        <v>Embalagens</v>
      </c>
      <c r="C226" s="29" t="s">
        <v>124</v>
      </c>
      <c r="D226" s="36" t="n">
        <v>1</v>
      </c>
      <c r="E226" s="35" t="str">
        <f aca="false">IF($C226="","",IFERROR(INDEX(Insumos_Unidade,MATCH($C226,Insumos_Ingrediente,0)),""))</f>
        <v>un</v>
      </c>
      <c r="F226" s="19" t="n">
        <f aca="false">IFERROR(INDEX(Insumos_CustoUnit,MATCH($C226,Insumos_Ingrediente,0)),0)</f>
        <v>0.24365</v>
      </c>
      <c r="G226" s="19" t="n">
        <f aca="false">$D226*$F226</f>
        <v>0.24365</v>
      </c>
      <c r="H226" s="38" t="n">
        <f aca="false">IF(OR($E226="g",$E226="ml"),$D226,0)</f>
        <v>0</v>
      </c>
      <c r="I226" s="38" t="n">
        <f aca="false">IF($C226="Açaí",1,0)</f>
        <v>0</v>
      </c>
      <c r="J226" s="38" t="n">
        <f aca="false">IF($C226="Banana",1,0)</f>
        <v>0</v>
      </c>
      <c r="K226" s="38" t="n">
        <f aca="false">IF($C226="Whey Protein",1,0)</f>
        <v>0</v>
      </c>
      <c r="L226" s="38" t="n">
        <f aca="false">IF(ISNUMBER(SEARCH("Copo",$C226)),1,0)</f>
        <v>1</v>
      </c>
    </row>
    <row r="227" customFormat="false" ht="15" hidden="false" customHeight="true" outlineLevel="0" collapsed="false">
      <c r="A227" s="29" t="s">
        <v>201</v>
      </c>
      <c r="B227" s="35" t="str">
        <f aca="false">IF($C227="","",IFERROR(INDEX(Insumos_Categoria,MATCH($C227,Insumos_Ingrediente,0)),""))</f>
        <v>Embalagens</v>
      </c>
      <c r="C227" s="29" t="s">
        <v>127</v>
      </c>
      <c r="D227" s="36" t="n">
        <v>1</v>
      </c>
      <c r="E227" s="35" t="str">
        <f aca="false">IF($C227="","",IFERROR(INDEX(Insumos_Unidade,MATCH($C227,Insumos_Ingrediente,0)),""))</f>
        <v>un</v>
      </c>
      <c r="F227" s="19" t="n">
        <f aca="false">IFERROR(INDEX(Insumos_CustoUnit,MATCH($C227,Insumos_Ingrediente,0)),0)</f>
        <v>0.0923</v>
      </c>
      <c r="G227" s="19" t="n">
        <f aca="false">$D227*$F227</f>
        <v>0.0923</v>
      </c>
      <c r="H227" s="38" t="n">
        <f aca="false">IF(OR($E227="g",$E227="ml"),$D227,0)</f>
        <v>0</v>
      </c>
      <c r="I227" s="38" t="n">
        <f aca="false">IF($C227="Açaí",1,0)</f>
        <v>0</v>
      </c>
      <c r="J227" s="38" t="n">
        <f aca="false">IF($C227="Banana",1,0)</f>
        <v>0</v>
      </c>
      <c r="K227" s="38" t="n">
        <f aca="false">IF($C227="Whey Protein",1,0)</f>
        <v>0</v>
      </c>
      <c r="L227" s="38" t="n">
        <f aca="false">IF(ISNUMBER(SEARCH("Copo",$C227)),1,0)</f>
        <v>0</v>
      </c>
    </row>
    <row r="228" customFormat="false" ht="15" hidden="false" customHeight="true" outlineLevel="0" collapsed="false">
      <c r="A228" s="29" t="s">
        <v>201</v>
      </c>
      <c r="B228" s="35" t="str">
        <f aca="false">IF($C228="","",IFERROR(INDEX(Insumos_Categoria,MATCH($C228,Insumos_Ingrediente,0)),""))</f>
        <v>Consumíveis</v>
      </c>
      <c r="C228" s="29" t="s">
        <v>141</v>
      </c>
      <c r="D228" s="36" t="n">
        <v>1</v>
      </c>
      <c r="E228" s="35" t="str">
        <f aca="false">IF($C228="","",IFERROR(INDEX(Insumos_Unidade,MATCH($C228,Insumos_Ingrediente,0)),""))</f>
        <v>un</v>
      </c>
      <c r="F228" s="19" t="n">
        <f aca="false">IFERROR(INDEX(Insumos_CustoUnit,MATCH($C228,Insumos_Ingrediente,0)),0)</f>
        <v>0.0938</v>
      </c>
      <c r="G228" s="19" t="n">
        <f aca="false">$D228*$F228</f>
        <v>0.0938</v>
      </c>
      <c r="H228" s="38" t="n">
        <f aca="false">IF(OR($E228="g",$E228="ml"),$D228,0)</f>
        <v>0</v>
      </c>
      <c r="I228" s="38" t="n">
        <f aca="false">IF($C228="Açaí",1,0)</f>
        <v>0</v>
      </c>
      <c r="J228" s="38" t="n">
        <f aca="false">IF($C228="Banana",1,0)</f>
        <v>0</v>
      </c>
      <c r="K228" s="38" t="n">
        <f aca="false">IF($C228="Whey Protein",1,0)</f>
        <v>0</v>
      </c>
      <c r="L228" s="38" t="n">
        <f aca="false">IF(ISNUMBER(SEARCH("Copo",$C228)),1,0)</f>
        <v>0</v>
      </c>
    </row>
    <row r="229" customFormat="false" ht="15" hidden="false" customHeight="true" outlineLevel="0" collapsed="false">
      <c r="A229" s="29" t="s">
        <v>201</v>
      </c>
      <c r="B229" s="35" t="str">
        <f aca="false">IF($C229="","",IFERROR(INDEX(Insumos_Categoria,MATCH($C229,Insumos_Ingrediente,0)),""))</f>
        <v>Consumíveis</v>
      </c>
      <c r="C229" s="29" t="s">
        <v>143</v>
      </c>
      <c r="D229" s="36" t="n">
        <v>1</v>
      </c>
      <c r="E229" s="35" t="str">
        <f aca="false">IF($C229="","",IFERROR(INDEX(Insumos_Unidade,MATCH($C229,Insumos_Ingrediente,0)),""))</f>
        <v>un</v>
      </c>
      <c r="F229" s="19" t="n">
        <f aca="false">IFERROR(INDEX(Insumos_CustoUnit,MATCH($C229,Insumos_Ingrediente,0)),0)</f>
        <v>0</v>
      </c>
      <c r="G229" s="19" t="n">
        <f aca="false">$D229*$F229</f>
        <v>0</v>
      </c>
      <c r="H229" s="38" t="n">
        <f aca="false">IF(OR($E229="g",$E229="ml"),$D229,0)</f>
        <v>0</v>
      </c>
      <c r="I229" s="38" t="n">
        <f aca="false">IF($C229="Açaí",1,0)</f>
        <v>0</v>
      </c>
      <c r="J229" s="38" t="n">
        <f aca="false">IF($C229="Banana",1,0)</f>
        <v>0</v>
      </c>
      <c r="K229" s="38" t="n">
        <f aca="false">IF($C229="Whey Protein",1,0)</f>
        <v>0</v>
      </c>
      <c r="L229" s="38" t="n">
        <f aca="false">IF(ISNUMBER(SEARCH("Copo",$C229)),1,0)</f>
        <v>0</v>
      </c>
    </row>
    <row r="230" customFormat="false" ht="15" hidden="false" customHeight="true" outlineLevel="0" collapsed="false">
      <c r="A230" s="29" t="s">
        <v>202</v>
      </c>
      <c r="B230" s="35" t="str">
        <f aca="false">IF($C230="","",IFERROR(INDEX(Insumos_Categoria,MATCH($C230,Insumos_Ingrediente,0)),""))</f>
        <v>Bases (Produção Própria)</v>
      </c>
      <c r="C230" s="29" t="s">
        <v>88</v>
      </c>
      <c r="D230" s="36" t="n">
        <v>170</v>
      </c>
      <c r="E230" s="35" t="str">
        <f aca="false">IF($C230="","",IFERROR(INDEX(Insumos_Unidade,MATCH($C230,Insumos_Ingrediente,0)),""))</f>
        <v>ml</v>
      </c>
      <c r="F230" s="19" t="n">
        <f aca="false">IFERROR(INDEX(Insumos_CustoUnit,MATCH($C230,Insumos_Ingrediente,0)),0)</f>
        <v>0.0165</v>
      </c>
      <c r="G230" s="19" t="n">
        <f aca="false">$D230*$F230</f>
        <v>2.805</v>
      </c>
      <c r="H230" s="37" t="n">
        <f aca="false">IF(OR($E230="g",$E230="ml"),$D230,0)</f>
        <v>170</v>
      </c>
      <c r="I230" s="38" t="n">
        <f aca="false">IF($C230="Açaí",1,0)</f>
        <v>1</v>
      </c>
      <c r="J230" s="38" t="n">
        <f aca="false">IF($C230="Banana",1,0)</f>
        <v>0</v>
      </c>
      <c r="K230" s="38" t="n">
        <f aca="false">IF($C230="Whey Protein",1,0)</f>
        <v>0</v>
      </c>
      <c r="L230" s="38" t="n">
        <f aca="false">IF(ISNUMBER(SEARCH("Copo",$C230)),1,0)</f>
        <v>0</v>
      </c>
    </row>
    <row r="231" customFormat="false" ht="15" hidden="false" customHeight="true" outlineLevel="0" collapsed="false">
      <c r="A231" s="29" t="s">
        <v>202</v>
      </c>
      <c r="B231" s="35" t="str">
        <f aca="false">IF($C231="","",IFERROR(INDEX(Insumos_Categoria,MATCH($C231,Insumos_Ingrediente,0)),""))</f>
        <v>Coberturas (30g)</v>
      </c>
      <c r="C231" s="29" t="s">
        <v>100</v>
      </c>
      <c r="D231" s="36" t="n">
        <v>30</v>
      </c>
      <c r="E231" s="35" t="str">
        <f aca="false">IF($C231="","",IFERROR(INDEX(Insumos_Unidade,MATCH($C231,Insumos_Ingrediente,0)),""))</f>
        <v>g</v>
      </c>
      <c r="F231" s="19" t="n">
        <f aca="false">IFERROR(INDEX(Insumos_CustoUnit,MATCH($C231,Insumos_Ingrediente,0)),0)</f>
        <v>0.00230769230769231</v>
      </c>
      <c r="G231" s="19" t="n">
        <f aca="false">$D231*$F231</f>
        <v>0.0692307692307692</v>
      </c>
      <c r="H231" s="37" t="n">
        <f aca="false">IF(OR($E231="g",$E231="ml"),$D231,0)</f>
        <v>30</v>
      </c>
      <c r="I231" s="38" t="n">
        <f aca="false">IF($C231="Açaí",1,0)</f>
        <v>0</v>
      </c>
      <c r="J231" s="38" t="n">
        <f aca="false">IF($C231="Banana",1,0)</f>
        <v>1</v>
      </c>
      <c r="K231" s="38" t="n">
        <f aca="false">IF($C231="Whey Protein",1,0)</f>
        <v>0</v>
      </c>
      <c r="L231" s="38" t="n">
        <f aca="false">IF(ISNUMBER(SEARCH("Copo",$C231)),1,0)</f>
        <v>0</v>
      </c>
    </row>
    <row r="232" customFormat="false" ht="15" hidden="false" customHeight="true" outlineLevel="0" collapsed="false">
      <c r="A232" s="29" t="s">
        <v>202</v>
      </c>
      <c r="B232" s="35" t="str">
        <f aca="false">IF($C232="","",IFERROR(INDEX(Insumos_Categoria,MATCH($C232,Insumos_Ingrediente,0)),""))</f>
        <v>Coberturas (30g)</v>
      </c>
      <c r="C232" s="29" t="s">
        <v>114</v>
      </c>
      <c r="D232" s="36" t="n">
        <v>30</v>
      </c>
      <c r="E232" s="35" t="str">
        <f aca="false">IF($C232="","",IFERROR(INDEX(Insumos_Unidade,MATCH($C232,Insumos_Ingrediente,0)),""))</f>
        <v>g</v>
      </c>
      <c r="F232" s="19" t="n">
        <f aca="false">IFERROR(INDEX(Insumos_CustoUnit,MATCH($C232,Insumos_Ingrediente,0)),0)</f>
        <v>0</v>
      </c>
      <c r="G232" s="19" t="n">
        <f aca="false">$D232*$F232</f>
        <v>0</v>
      </c>
      <c r="H232" s="37" t="n">
        <f aca="false">IF(OR($E232="g",$E232="ml"),$D232,0)</f>
        <v>30</v>
      </c>
      <c r="I232" s="38" t="n">
        <f aca="false">IF($C232="Açaí",1,0)</f>
        <v>0</v>
      </c>
      <c r="J232" s="38" t="n">
        <f aca="false">IF($C232="Banana",1,0)</f>
        <v>0</v>
      </c>
      <c r="K232" s="38" t="n">
        <f aca="false">IF($C232="Whey Protein",1,0)</f>
        <v>1</v>
      </c>
      <c r="L232" s="38" t="n">
        <f aca="false">IF(ISNUMBER(SEARCH("Copo",$C232)),1,0)</f>
        <v>0</v>
      </c>
    </row>
    <row r="233" customFormat="false" ht="15" hidden="false" customHeight="true" outlineLevel="0" collapsed="false">
      <c r="A233" s="29" t="s">
        <v>202</v>
      </c>
      <c r="B233" s="35" t="str">
        <f aca="false">IF($C233="","",IFERROR(INDEX(Insumos_Categoria,MATCH($C233,Insumos_Ingrediente,0)),""))</f>
        <v>Coberturas (30g)</v>
      </c>
      <c r="C233" s="29" t="s">
        <v>116</v>
      </c>
      <c r="D233" s="36" t="n">
        <v>30</v>
      </c>
      <c r="E233" s="35" t="str">
        <f aca="false">IF($C233="","",IFERROR(INDEX(Insumos_Unidade,MATCH($C233,Insumos_Ingrediente,0)),""))</f>
        <v>g</v>
      </c>
      <c r="F233" s="19" t="n">
        <f aca="false">IFERROR(INDEX(Insumos_CustoUnit,MATCH($C233,Insumos_Ingrediente,0)),0)</f>
        <v>0</v>
      </c>
      <c r="G233" s="19" t="n">
        <f aca="false">$D233*$F233</f>
        <v>0</v>
      </c>
      <c r="H233" s="37" t="n">
        <f aca="false">IF(OR($E233="g",$E233="ml"),$D233,0)</f>
        <v>30</v>
      </c>
      <c r="I233" s="38" t="n">
        <f aca="false">IF($C233="Açaí",1,0)</f>
        <v>0</v>
      </c>
      <c r="J233" s="38" t="n">
        <f aca="false">IF($C233="Banana",1,0)</f>
        <v>0</v>
      </c>
      <c r="K233" s="38" t="n">
        <f aca="false">IF($C233="Whey Protein",1,0)</f>
        <v>0</v>
      </c>
      <c r="L233" s="38" t="n">
        <f aca="false">IF(ISNUMBER(SEARCH("Copo",$C233)),1,0)</f>
        <v>0</v>
      </c>
    </row>
    <row r="234" customFormat="false" ht="15" hidden="false" customHeight="true" outlineLevel="0" collapsed="false">
      <c r="A234" s="29" t="s">
        <v>202</v>
      </c>
      <c r="B234" s="35" t="str">
        <f aca="false">IF($C234="","",IFERROR(INDEX(Insumos_Categoria,MATCH($C234,Insumos_Ingrediente,0)),""))</f>
        <v>Embalagens</v>
      </c>
      <c r="C234" s="29" t="s">
        <v>120</v>
      </c>
      <c r="D234" s="36" t="n">
        <v>1</v>
      </c>
      <c r="E234" s="35" t="str">
        <f aca="false">IF($C234="","",IFERROR(INDEX(Insumos_Unidade,MATCH($C234,Insumos_Ingrediente,0)),""))</f>
        <v>un</v>
      </c>
      <c r="F234" s="19" t="n">
        <f aca="false">IFERROR(INDEX(Insumos_CustoUnit,MATCH($C234,Insumos_Ingrediente,0)),0)</f>
        <v>0.1668</v>
      </c>
      <c r="G234" s="19" t="n">
        <f aca="false">$D234*$F234</f>
        <v>0.1668</v>
      </c>
      <c r="H234" s="38" t="n">
        <f aca="false">IF(OR($E234="g",$E234="ml"),$D234,0)</f>
        <v>0</v>
      </c>
      <c r="I234" s="38" t="n">
        <f aca="false">IF($C234="Açaí",1,0)</f>
        <v>0</v>
      </c>
      <c r="J234" s="38" t="n">
        <f aca="false">IF($C234="Banana",1,0)</f>
        <v>0</v>
      </c>
      <c r="K234" s="38" t="n">
        <f aca="false">IF($C234="Whey Protein",1,0)</f>
        <v>0</v>
      </c>
      <c r="L234" s="38" t="n">
        <f aca="false">IF(ISNUMBER(SEARCH("Copo",$C234)),1,0)</f>
        <v>1</v>
      </c>
    </row>
    <row r="235" customFormat="false" ht="15" hidden="false" customHeight="true" outlineLevel="0" collapsed="false">
      <c r="A235" s="29" t="s">
        <v>202</v>
      </c>
      <c r="B235" s="35" t="str">
        <f aca="false">IF($C235="","",IFERROR(INDEX(Insumos_Categoria,MATCH($C235,Insumos_Ingrediente,0)),""))</f>
        <v>Embalagens</v>
      </c>
      <c r="C235" s="29" t="s">
        <v>125</v>
      </c>
      <c r="D235" s="36" t="n">
        <v>1</v>
      </c>
      <c r="E235" s="35" t="str">
        <f aca="false">IF($C235="","",IFERROR(INDEX(Insumos_Unidade,MATCH($C235,Insumos_Ingrediente,0)),""))</f>
        <v>un</v>
      </c>
      <c r="F235" s="19" t="n">
        <f aca="false">IFERROR(INDEX(Insumos_CustoUnit,MATCH($C235,Insumos_Ingrediente,0)),0)</f>
        <v>0.0823</v>
      </c>
      <c r="G235" s="19" t="n">
        <f aca="false">$D235*$F235</f>
        <v>0.0823</v>
      </c>
      <c r="H235" s="38" t="n">
        <f aca="false">IF(OR($E235="g",$E235="ml"),$D235,0)</f>
        <v>0</v>
      </c>
      <c r="I235" s="38" t="n">
        <f aca="false">IF($C235="Açaí",1,0)</f>
        <v>0</v>
      </c>
      <c r="J235" s="38" t="n">
        <f aca="false">IF($C235="Banana",1,0)</f>
        <v>0</v>
      </c>
      <c r="K235" s="38" t="n">
        <f aca="false">IF($C235="Whey Protein",1,0)</f>
        <v>0</v>
      </c>
      <c r="L235" s="38" t="n">
        <f aca="false">IF(ISNUMBER(SEARCH("Copo",$C235)),1,0)</f>
        <v>0</v>
      </c>
    </row>
    <row r="236" customFormat="false" ht="15" hidden="false" customHeight="true" outlineLevel="0" collapsed="false">
      <c r="A236" s="29" t="s">
        <v>202</v>
      </c>
      <c r="B236" s="35" t="str">
        <f aca="false">IF($C236="","",IFERROR(INDEX(Insumos_Categoria,MATCH($C236,Insumos_Ingrediente,0)),""))</f>
        <v>Consumíveis</v>
      </c>
      <c r="C236" s="29" t="s">
        <v>141</v>
      </c>
      <c r="D236" s="36" t="n">
        <v>1</v>
      </c>
      <c r="E236" s="35" t="str">
        <f aca="false">IF($C236="","",IFERROR(INDEX(Insumos_Unidade,MATCH($C236,Insumos_Ingrediente,0)),""))</f>
        <v>un</v>
      </c>
      <c r="F236" s="19" t="n">
        <f aca="false">IFERROR(INDEX(Insumos_CustoUnit,MATCH($C236,Insumos_Ingrediente,0)),0)</f>
        <v>0.0938</v>
      </c>
      <c r="G236" s="19" t="n">
        <f aca="false">$D236*$F236</f>
        <v>0.0938</v>
      </c>
      <c r="H236" s="38" t="n">
        <f aca="false">IF(OR($E236="g",$E236="ml"),$D236,0)</f>
        <v>0</v>
      </c>
      <c r="I236" s="38" t="n">
        <f aca="false">IF($C236="Açaí",1,0)</f>
        <v>0</v>
      </c>
      <c r="J236" s="38" t="n">
        <f aca="false">IF($C236="Banana",1,0)</f>
        <v>0</v>
      </c>
      <c r="K236" s="38" t="n">
        <f aca="false">IF($C236="Whey Protein",1,0)</f>
        <v>0</v>
      </c>
      <c r="L236" s="38" t="n">
        <f aca="false">IF(ISNUMBER(SEARCH("Copo",$C236)),1,0)</f>
        <v>0</v>
      </c>
    </row>
    <row r="237" customFormat="false" ht="15" hidden="false" customHeight="true" outlineLevel="0" collapsed="false">
      <c r="A237" s="29" t="s">
        <v>202</v>
      </c>
      <c r="B237" s="35" t="str">
        <f aca="false">IF($C237="","",IFERROR(INDEX(Insumos_Categoria,MATCH($C237,Insumos_Ingrediente,0)),""))</f>
        <v>Consumíveis</v>
      </c>
      <c r="C237" s="29" t="s">
        <v>143</v>
      </c>
      <c r="D237" s="36" t="n">
        <v>1</v>
      </c>
      <c r="E237" s="35" t="str">
        <f aca="false">IF($C237="","",IFERROR(INDEX(Insumos_Unidade,MATCH($C237,Insumos_Ingrediente,0)),""))</f>
        <v>un</v>
      </c>
      <c r="F237" s="19" t="n">
        <f aca="false">IFERROR(INDEX(Insumos_CustoUnit,MATCH($C237,Insumos_Ingrediente,0)),0)</f>
        <v>0</v>
      </c>
      <c r="G237" s="19" t="n">
        <f aca="false">$D237*$F237</f>
        <v>0</v>
      </c>
      <c r="H237" s="38" t="n">
        <f aca="false">IF(OR($E237="g",$E237="ml"),$D237,0)</f>
        <v>0</v>
      </c>
      <c r="I237" s="38" t="n">
        <f aca="false">IF($C237="Açaí",1,0)</f>
        <v>0</v>
      </c>
      <c r="J237" s="38" t="n">
        <f aca="false">IF($C237="Banana",1,0)</f>
        <v>0</v>
      </c>
      <c r="K237" s="38" t="n">
        <f aca="false">IF($C237="Whey Protein",1,0)</f>
        <v>0</v>
      </c>
      <c r="L237" s="38" t="n">
        <f aca="false">IF(ISNUMBER(SEARCH("Copo",$C237)),1,0)</f>
        <v>0</v>
      </c>
    </row>
    <row r="238" customFormat="false" ht="15" hidden="false" customHeight="true" outlineLevel="0" collapsed="false">
      <c r="A238" s="29" t="s">
        <v>203</v>
      </c>
      <c r="B238" s="35" t="str">
        <f aca="false">IF($C238="","",IFERROR(INDEX(Insumos_Categoria,MATCH($C238,Insumos_Ingrediente,0)),""))</f>
        <v>Bases (Produção Própria)</v>
      </c>
      <c r="C238" s="29" t="s">
        <v>88</v>
      </c>
      <c r="D238" s="36" t="n">
        <v>270</v>
      </c>
      <c r="E238" s="35" t="str">
        <f aca="false">IF($C238="","",IFERROR(INDEX(Insumos_Unidade,MATCH($C238,Insumos_Ingrediente,0)),""))</f>
        <v>ml</v>
      </c>
      <c r="F238" s="19" t="n">
        <f aca="false">IFERROR(INDEX(Insumos_CustoUnit,MATCH($C238,Insumos_Ingrediente,0)),0)</f>
        <v>0.0165</v>
      </c>
      <c r="G238" s="19" t="n">
        <f aca="false">$D238*$F238</f>
        <v>4.455</v>
      </c>
      <c r="H238" s="37" t="n">
        <f aca="false">IF(OR($E238="g",$E238="ml"),$D238,0)</f>
        <v>270</v>
      </c>
      <c r="I238" s="38" t="n">
        <f aca="false">IF($C238="Açaí",1,0)</f>
        <v>1</v>
      </c>
      <c r="J238" s="38" t="n">
        <f aca="false">IF($C238="Banana",1,0)</f>
        <v>0</v>
      </c>
      <c r="K238" s="38" t="n">
        <f aca="false">IF($C238="Whey Protein",1,0)</f>
        <v>0</v>
      </c>
      <c r="L238" s="38" t="n">
        <f aca="false">IF(ISNUMBER(SEARCH("Copo",$C238)),1,0)</f>
        <v>0</v>
      </c>
    </row>
    <row r="239" customFormat="false" ht="15" hidden="false" customHeight="true" outlineLevel="0" collapsed="false">
      <c r="A239" s="29" t="s">
        <v>203</v>
      </c>
      <c r="B239" s="35" t="str">
        <f aca="false">IF($C239="","",IFERROR(INDEX(Insumos_Categoria,MATCH($C239,Insumos_Ingrediente,0)),""))</f>
        <v>Coberturas (30g)</v>
      </c>
      <c r="C239" s="29" t="s">
        <v>100</v>
      </c>
      <c r="D239" s="36" t="n">
        <v>30</v>
      </c>
      <c r="E239" s="35" t="str">
        <f aca="false">IF($C239="","",IFERROR(INDEX(Insumos_Unidade,MATCH($C239,Insumos_Ingrediente,0)),""))</f>
        <v>g</v>
      </c>
      <c r="F239" s="19" t="n">
        <f aca="false">IFERROR(INDEX(Insumos_CustoUnit,MATCH($C239,Insumos_Ingrediente,0)),0)</f>
        <v>0.00230769230769231</v>
      </c>
      <c r="G239" s="19" t="n">
        <f aca="false">$D239*$F239</f>
        <v>0.0692307692307692</v>
      </c>
      <c r="H239" s="37" t="n">
        <f aca="false">IF(OR($E239="g",$E239="ml"),$D239,0)</f>
        <v>30</v>
      </c>
      <c r="I239" s="38" t="n">
        <f aca="false">IF($C239="Açaí",1,0)</f>
        <v>0</v>
      </c>
      <c r="J239" s="38" t="n">
        <f aca="false">IF($C239="Banana",1,0)</f>
        <v>1</v>
      </c>
      <c r="K239" s="38" t="n">
        <f aca="false">IF($C239="Whey Protein",1,0)</f>
        <v>0</v>
      </c>
      <c r="L239" s="38" t="n">
        <f aca="false">IF(ISNUMBER(SEARCH("Copo",$C239)),1,0)</f>
        <v>0</v>
      </c>
    </row>
    <row r="240" customFormat="false" ht="15" hidden="false" customHeight="true" outlineLevel="0" collapsed="false">
      <c r="A240" s="29" t="s">
        <v>203</v>
      </c>
      <c r="B240" s="35" t="str">
        <f aca="false">IF($C240="","",IFERROR(INDEX(Insumos_Categoria,MATCH($C240,Insumos_Ingrediente,0)),""))</f>
        <v>Coberturas (30g)</v>
      </c>
      <c r="C240" s="29" t="s">
        <v>114</v>
      </c>
      <c r="D240" s="36" t="n">
        <v>30</v>
      </c>
      <c r="E240" s="35" t="str">
        <f aca="false">IF($C240="","",IFERROR(INDEX(Insumos_Unidade,MATCH($C240,Insumos_Ingrediente,0)),""))</f>
        <v>g</v>
      </c>
      <c r="F240" s="19" t="n">
        <f aca="false">IFERROR(INDEX(Insumos_CustoUnit,MATCH($C240,Insumos_Ingrediente,0)),0)</f>
        <v>0</v>
      </c>
      <c r="G240" s="19" t="n">
        <f aca="false">$D240*$F240</f>
        <v>0</v>
      </c>
      <c r="H240" s="37" t="n">
        <f aca="false">IF(OR($E240="g",$E240="ml"),$D240,0)</f>
        <v>30</v>
      </c>
      <c r="I240" s="38" t="n">
        <f aca="false">IF($C240="Açaí",1,0)</f>
        <v>0</v>
      </c>
      <c r="J240" s="38" t="n">
        <f aca="false">IF($C240="Banana",1,0)</f>
        <v>0</v>
      </c>
      <c r="K240" s="38" t="n">
        <f aca="false">IF($C240="Whey Protein",1,0)</f>
        <v>1</v>
      </c>
      <c r="L240" s="38" t="n">
        <f aca="false">IF(ISNUMBER(SEARCH("Copo",$C240)),1,0)</f>
        <v>0</v>
      </c>
    </row>
    <row r="241" customFormat="false" ht="15" hidden="false" customHeight="true" outlineLevel="0" collapsed="false">
      <c r="A241" s="29" t="s">
        <v>203</v>
      </c>
      <c r="B241" s="35" t="str">
        <f aca="false">IF($C241="","",IFERROR(INDEX(Insumos_Categoria,MATCH($C241,Insumos_Ingrediente,0)),""))</f>
        <v>Coberturas (30g)</v>
      </c>
      <c r="C241" s="29" t="s">
        <v>116</v>
      </c>
      <c r="D241" s="36" t="n">
        <v>30</v>
      </c>
      <c r="E241" s="35" t="str">
        <f aca="false">IF($C241="","",IFERROR(INDEX(Insumos_Unidade,MATCH($C241,Insumos_Ingrediente,0)),""))</f>
        <v>g</v>
      </c>
      <c r="F241" s="19" t="n">
        <f aca="false">IFERROR(INDEX(Insumos_CustoUnit,MATCH($C241,Insumos_Ingrediente,0)),0)</f>
        <v>0</v>
      </c>
      <c r="G241" s="19" t="n">
        <f aca="false">$D241*$F241</f>
        <v>0</v>
      </c>
      <c r="H241" s="37" t="n">
        <f aca="false">IF(OR($E241="g",$E241="ml"),$D241,0)</f>
        <v>30</v>
      </c>
      <c r="I241" s="38" t="n">
        <f aca="false">IF($C241="Açaí",1,0)</f>
        <v>0</v>
      </c>
      <c r="J241" s="38" t="n">
        <f aca="false">IF($C241="Banana",1,0)</f>
        <v>0</v>
      </c>
      <c r="K241" s="38" t="n">
        <f aca="false">IF($C241="Whey Protein",1,0)</f>
        <v>0</v>
      </c>
      <c r="L241" s="38" t="n">
        <f aca="false">IF(ISNUMBER(SEARCH("Copo",$C241)),1,0)</f>
        <v>0</v>
      </c>
    </row>
    <row r="242" customFormat="false" ht="15" hidden="false" customHeight="true" outlineLevel="0" collapsed="false">
      <c r="A242" s="29" t="s">
        <v>203</v>
      </c>
      <c r="B242" s="35" t="str">
        <f aca="false">IF($C242="","",IFERROR(INDEX(Insumos_Categoria,MATCH($C242,Insumos_Ingrediente,0)),""))</f>
        <v>Embalagens</v>
      </c>
      <c r="C242" s="29" t="s">
        <v>123</v>
      </c>
      <c r="D242" s="36" t="n">
        <v>1</v>
      </c>
      <c r="E242" s="35" t="str">
        <f aca="false">IF($C242="","",IFERROR(INDEX(Insumos_Unidade,MATCH($C242,Insumos_Ingrediente,0)),""))</f>
        <v>un</v>
      </c>
      <c r="F242" s="19" t="n">
        <f aca="false">IFERROR(INDEX(Insumos_CustoUnit,MATCH($C242,Insumos_Ingrediente,0)),0)</f>
        <v>0.15372</v>
      </c>
      <c r="G242" s="19" t="n">
        <f aca="false">$D242*$F242</f>
        <v>0.15372</v>
      </c>
      <c r="H242" s="38" t="n">
        <f aca="false">IF(OR($E242="g",$E242="ml"),$D242,0)</f>
        <v>0</v>
      </c>
      <c r="I242" s="38" t="n">
        <f aca="false">IF($C242="Açaí",1,0)</f>
        <v>0</v>
      </c>
      <c r="J242" s="38" t="n">
        <f aca="false">IF($C242="Banana",1,0)</f>
        <v>0</v>
      </c>
      <c r="K242" s="38" t="n">
        <f aca="false">IF($C242="Whey Protein",1,0)</f>
        <v>0</v>
      </c>
      <c r="L242" s="38" t="n">
        <f aca="false">IF(ISNUMBER(SEARCH("Copo",$C242)),1,0)</f>
        <v>1</v>
      </c>
    </row>
    <row r="243" customFormat="false" ht="15" hidden="false" customHeight="true" outlineLevel="0" collapsed="false">
      <c r="A243" s="29" t="s">
        <v>203</v>
      </c>
      <c r="B243" s="35" t="str">
        <f aca="false">IF($C243="","",IFERROR(INDEX(Insumos_Categoria,MATCH($C243,Insumos_Ingrediente,0)),""))</f>
        <v>Embalagens</v>
      </c>
      <c r="C243" s="29" t="s">
        <v>126</v>
      </c>
      <c r="D243" s="36" t="n">
        <v>1</v>
      </c>
      <c r="E243" s="35" t="str">
        <f aca="false">IF($C243="","",IFERROR(INDEX(Insumos_Unidade,MATCH($C243,Insumos_Ingrediente,0)),""))</f>
        <v>un</v>
      </c>
      <c r="F243" s="19" t="n">
        <f aca="false">IFERROR(INDEX(Insumos_CustoUnit,MATCH($C243,Insumos_Ingrediente,0)),0)</f>
        <v>0.0823</v>
      </c>
      <c r="G243" s="19" t="n">
        <f aca="false">$D243*$F243</f>
        <v>0.0823</v>
      </c>
      <c r="H243" s="38" t="n">
        <f aca="false">IF(OR($E243="g",$E243="ml"),$D243,0)</f>
        <v>0</v>
      </c>
      <c r="I243" s="38" t="n">
        <f aca="false">IF($C243="Açaí",1,0)</f>
        <v>0</v>
      </c>
      <c r="J243" s="38" t="n">
        <f aca="false">IF($C243="Banana",1,0)</f>
        <v>0</v>
      </c>
      <c r="K243" s="38" t="n">
        <f aca="false">IF($C243="Whey Protein",1,0)</f>
        <v>0</v>
      </c>
      <c r="L243" s="38" t="n">
        <f aca="false">IF(ISNUMBER(SEARCH("Copo",$C243)),1,0)</f>
        <v>0</v>
      </c>
    </row>
    <row r="244" customFormat="false" ht="15" hidden="false" customHeight="true" outlineLevel="0" collapsed="false">
      <c r="A244" s="29" t="s">
        <v>203</v>
      </c>
      <c r="B244" s="35" t="str">
        <f aca="false">IF($C244="","",IFERROR(INDEX(Insumos_Categoria,MATCH($C244,Insumos_Ingrediente,0)),""))</f>
        <v>Consumíveis</v>
      </c>
      <c r="C244" s="29" t="s">
        <v>141</v>
      </c>
      <c r="D244" s="36" t="n">
        <v>1</v>
      </c>
      <c r="E244" s="35" t="str">
        <f aca="false">IF($C244="","",IFERROR(INDEX(Insumos_Unidade,MATCH($C244,Insumos_Ingrediente,0)),""))</f>
        <v>un</v>
      </c>
      <c r="F244" s="19" t="n">
        <f aca="false">IFERROR(INDEX(Insumos_CustoUnit,MATCH($C244,Insumos_Ingrediente,0)),0)</f>
        <v>0.0938</v>
      </c>
      <c r="G244" s="19" t="n">
        <f aca="false">$D244*$F244</f>
        <v>0.0938</v>
      </c>
      <c r="H244" s="38" t="n">
        <f aca="false">IF(OR($E244="g",$E244="ml"),$D244,0)</f>
        <v>0</v>
      </c>
      <c r="I244" s="38" t="n">
        <f aca="false">IF($C244="Açaí",1,0)</f>
        <v>0</v>
      </c>
      <c r="J244" s="38" t="n">
        <f aca="false">IF($C244="Banana",1,0)</f>
        <v>0</v>
      </c>
      <c r="K244" s="38" t="n">
        <f aca="false">IF($C244="Whey Protein",1,0)</f>
        <v>0</v>
      </c>
      <c r="L244" s="38" t="n">
        <f aca="false">IF(ISNUMBER(SEARCH("Copo",$C244)),1,0)</f>
        <v>0</v>
      </c>
    </row>
    <row r="245" customFormat="false" ht="15" hidden="false" customHeight="true" outlineLevel="0" collapsed="false">
      <c r="A245" s="29" t="s">
        <v>203</v>
      </c>
      <c r="B245" s="35" t="str">
        <f aca="false">IF($C245="","",IFERROR(INDEX(Insumos_Categoria,MATCH($C245,Insumos_Ingrediente,0)),""))</f>
        <v>Consumíveis</v>
      </c>
      <c r="C245" s="29" t="s">
        <v>143</v>
      </c>
      <c r="D245" s="36" t="n">
        <v>1</v>
      </c>
      <c r="E245" s="35" t="str">
        <f aca="false">IF($C245="","",IFERROR(INDEX(Insumos_Unidade,MATCH($C245,Insumos_Ingrediente,0)),""))</f>
        <v>un</v>
      </c>
      <c r="F245" s="19" t="n">
        <f aca="false">IFERROR(INDEX(Insumos_CustoUnit,MATCH($C245,Insumos_Ingrediente,0)),0)</f>
        <v>0</v>
      </c>
      <c r="G245" s="19" t="n">
        <f aca="false">$D245*$F245</f>
        <v>0</v>
      </c>
      <c r="H245" s="38" t="n">
        <f aca="false">IF(OR($E245="g",$E245="ml"),$D245,0)</f>
        <v>0</v>
      </c>
      <c r="I245" s="38" t="n">
        <f aca="false">IF($C245="Açaí",1,0)</f>
        <v>0</v>
      </c>
      <c r="J245" s="38" t="n">
        <f aca="false">IF($C245="Banana",1,0)</f>
        <v>0</v>
      </c>
      <c r="K245" s="38" t="n">
        <f aca="false">IF($C245="Whey Protein",1,0)</f>
        <v>0</v>
      </c>
      <c r="L245" s="38" t="n">
        <f aca="false">IF(ISNUMBER(SEARCH("Copo",$C245)),1,0)</f>
        <v>0</v>
      </c>
    </row>
    <row r="246" customFormat="false" ht="15" hidden="false" customHeight="true" outlineLevel="0" collapsed="false">
      <c r="A246" s="29" t="s">
        <v>204</v>
      </c>
      <c r="B246" s="35" t="str">
        <f aca="false">IF($C246="","",IFERROR(INDEX(Insumos_Categoria,MATCH($C246,Insumos_Ingrediente,0)),""))</f>
        <v>Bases (Produção Própria)</v>
      </c>
      <c r="C246" s="29" t="s">
        <v>88</v>
      </c>
      <c r="D246" s="36" t="n">
        <v>470</v>
      </c>
      <c r="E246" s="35" t="str">
        <f aca="false">IF($C246="","",IFERROR(INDEX(Insumos_Unidade,MATCH($C246,Insumos_Ingrediente,0)),""))</f>
        <v>ml</v>
      </c>
      <c r="F246" s="19" t="n">
        <f aca="false">IFERROR(INDEX(Insumos_CustoUnit,MATCH($C246,Insumos_Ingrediente,0)),0)</f>
        <v>0.0165</v>
      </c>
      <c r="G246" s="19" t="n">
        <f aca="false">$D246*$F246</f>
        <v>7.755</v>
      </c>
      <c r="H246" s="37" t="n">
        <f aca="false">IF(OR($E246="g",$E246="ml"),$D246,0)</f>
        <v>470</v>
      </c>
      <c r="I246" s="38" t="n">
        <f aca="false">IF($C246="Açaí",1,0)</f>
        <v>1</v>
      </c>
      <c r="J246" s="38" t="n">
        <f aca="false">IF($C246="Banana",1,0)</f>
        <v>0</v>
      </c>
      <c r="K246" s="38" t="n">
        <f aca="false">IF($C246="Whey Protein",1,0)</f>
        <v>0</v>
      </c>
      <c r="L246" s="38" t="n">
        <f aca="false">IF(ISNUMBER(SEARCH("Copo",$C246)),1,0)</f>
        <v>0</v>
      </c>
    </row>
    <row r="247" customFormat="false" ht="15" hidden="false" customHeight="true" outlineLevel="0" collapsed="false">
      <c r="A247" s="29" t="s">
        <v>204</v>
      </c>
      <c r="B247" s="35" t="str">
        <f aca="false">IF($C247="","",IFERROR(INDEX(Insumos_Categoria,MATCH($C247,Insumos_Ingrediente,0)),""))</f>
        <v>Coberturas (30g)</v>
      </c>
      <c r="C247" s="29" t="s">
        <v>100</v>
      </c>
      <c r="D247" s="36" t="n">
        <v>30</v>
      </c>
      <c r="E247" s="35" t="str">
        <f aca="false">IF($C247="","",IFERROR(INDEX(Insumos_Unidade,MATCH($C247,Insumos_Ingrediente,0)),""))</f>
        <v>g</v>
      </c>
      <c r="F247" s="19" t="n">
        <f aca="false">IFERROR(INDEX(Insumos_CustoUnit,MATCH($C247,Insumos_Ingrediente,0)),0)</f>
        <v>0.00230769230769231</v>
      </c>
      <c r="G247" s="19" t="n">
        <f aca="false">$D247*$F247</f>
        <v>0.0692307692307692</v>
      </c>
      <c r="H247" s="37" t="n">
        <f aca="false">IF(OR($E247="g",$E247="ml"),$D247,0)</f>
        <v>30</v>
      </c>
      <c r="I247" s="38" t="n">
        <f aca="false">IF($C247="Açaí",1,0)</f>
        <v>0</v>
      </c>
      <c r="J247" s="38" t="n">
        <f aca="false">IF($C247="Banana",1,0)</f>
        <v>1</v>
      </c>
      <c r="K247" s="38" t="n">
        <f aca="false">IF($C247="Whey Protein",1,0)</f>
        <v>0</v>
      </c>
      <c r="L247" s="38" t="n">
        <f aca="false">IF(ISNUMBER(SEARCH("Copo",$C247)),1,0)</f>
        <v>0</v>
      </c>
    </row>
    <row r="248" customFormat="false" ht="15" hidden="false" customHeight="true" outlineLevel="0" collapsed="false">
      <c r="A248" s="29" t="s">
        <v>204</v>
      </c>
      <c r="B248" s="35" t="str">
        <f aca="false">IF($C248="","",IFERROR(INDEX(Insumos_Categoria,MATCH($C248,Insumos_Ingrediente,0)),""))</f>
        <v>Coberturas (30g)</v>
      </c>
      <c r="C248" s="29" t="s">
        <v>114</v>
      </c>
      <c r="D248" s="36" t="n">
        <v>30</v>
      </c>
      <c r="E248" s="35" t="str">
        <f aca="false">IF($C248="","",IFERROR(INDEX(Insumos_Unidade,MATCH($C248,Insumos_Ingrediente,0)),""))</f>
        <v>g</v>
      </c>
      <c r="F248" s="19" t="n">
        <f aca="false">IFERROR(INDEX(Insumos_CustoUnit,MATCH($C248,Insumos_Ingrediente,0)),0)</f>
        <v>0</v>
      </c>
      <c r="G248" s="19" t="n">
        <f aca="false">$D248*$F248</f>
        <v>0</v>
      </c>
      <c r="H248" s="37" t="n">
        <f aca="false">IF(OR($E248="g",$E248="ml"),$D248,0)</f>
        <v>30</v>
      </c>
      <c r="I248" s="38" t="n">
        <f aca="false">IF($C248="Açaí",1,0)</f>
        <v>0</v>
      </c>
      <c r="J248" s="38" t="n">
        <f aca="false">IF($C248="Banana",1,0)</f>
        <v>0</v>
      </c>
      <c r="K248" s="38" t="n">
        <f aca="false">IF($C248="Whey Protein",1,0)</f>
        <v>1</v>
      </c>
      <c r="L248" s="38" t="n">
        <f aca="false">IF(ISNUMBER(SEARCH("Copo",$C248)),1,0)</f>
        <v>0</v>
      </c>
    </row>
    <row r="249" customFormat="false" ht="15" hidden="false" customHeight="true" outlineLevel="0" collapsed="false">
      <c r="A249" s="29" t="s">
        <v>204</v>
      </c>
      <c r="B249" s="35" t="str">
        <f aca="false">IF($C249="","",IFERROR(INDEX(Insumos_Categoria,MATCH($C249,Insumos_Ingrediente,0)),""))</f>
        <v>Coberturas (30g)</v>
      </c>
      <c r="C249" s="29" t="s">
        <v>116</v>
      </c>
      <c r="D249" s="36" t="n">
        <v>30</v>
      </c>
      <c r="E249" s="35" t="str">
        <f aca="false">IF($C249="","",IFERROR(INDEX(Insumos_Unidade,MATCH($C249,Insumos_Ingrediente,0)),""))</f>
        <v>g</v>
      </c>
      <c r="F249" s="19" t="n">
        <f aca="false">IFERROR(INDEX(Insumos_CustoUnit,MATCH($C249,Insumos_Ingrediente,0)),0)</f>
        <v>0</v>
      </c>
      <c r="G249" s="19" t="n">
        <f aca="false">$D249*$F249</f>
        <v>0</v>
      </c>
      <c r="H249" s="37" t="n">
        <f aca="false">IF(OR($E249="g",$E249="ml"),$D249,0)</f>
        <v>30</v>
      </c>
      <c r="I249" s="38" t="n">
        <f aca="false">IF($C249="Açaí",1,0)</f>
        <v>0</v>
      </c>
      <c r="J249" s="38" t="n">
        <f aca="false">IF($C249="Banana",1,0)</f>
        <v>0</v>
      </c>
      <c r="K249" s="38" t="n">
        <f aca="false">IF($C249="Whey Protein",1,0)</f>
        <v>0</v>
      </c>
      <c r="L249" s="38" t="n">
        <f aca="false">IF(ISNUMBER(SEARCH("Copo",$C249)),1,0)</f>
        <v>0</v>
      </c>
    </row>
    <row r="250" customFormat="false" ht="15" hidden="false" customHeight="true" outlineLevel="0" collapsed="false">
      <c r="A250" s="29" t="s">
        <v>204</v>
      </c>
      <c r="B250" s="35" t="str">
        <f aca="false">IF($C250="","",IFERROR(INDEX(Insumos_Categoria,MATCH($C250,Insumos_Ingrediente,0)),""))</f>
        <v>Embalagens</v>
      </c>
      <c r="C250" s="29" t="s">
        <v>124</v>
      </c>
      <c r="D250" s="36" t="n">
        <v>1</v>
      </c>
      <c r="E250" s="35" t="str">
        <f aca="false">IF($C250="","",IFERROR(INDEX(Insumos_Unidade,MATCH($C250,Insumos_Ingrediente,0)),""))</f>
        <v>un</v>
      </c>
      <c r="F250" s="19" t="n">
        <f aca="false">IFERROR(INDEX(Insumos_CustoUnit,MATCH($C250,Insumos_Ingrediente,0)),0)</f>
        <v>0.24365</v>
      </c>
      <c r="G250" s="19" t="n">
        <f aca="false">$D250*$F250</f>
        <v>0.24365</v>
      </c>
      <c r="H250" s="38" t="n">
        <f aca="false">IF(OR($E250="g",$E250="ml"),$D250,0)</f>
        <v>0</v>
      </c>
      <c r="I250" s="38" t="n">
        <f aca="false">IF($C250="Açaí",1,0)</f>
        <v>0</v>
      </c>
      <c r="J250" s="38" t="n">
        <f aca="false">IF($C250="Banana",1,0)</f>
        <v>0</v>
      </c>
      <c r="K250" s="38" t="n">
        <f aca="false">IF($C250="Whey Protein",1,0)</f>
        <v>0</v>
      </c>
      <c r="L250" s="38" t="n">
        <f aca="false">IF(ISNUMBER(SEARCH("Copo",$C250)),1,0)</f>
        <v>1</v>
      </c>
    </row>
    <row r="251" customFormat="false" ht="15" hidden="false" customHeight="true" outlineLevel="0" collapsed="false">
      <c r="A251" s="29" t="s">
        <v>204</v>
      </c>
      <c r="B251" s="35" t="str">
        <f aca="false">IF($C251="","",IFERROR(INDEX(Insumos_Categoria,MATCH($C251,Insumos_Ingrediente,0)),""))</f>
        <v>Embalagens</v>
      </c>
      <c r="C251" s="29" t="s">
        <v>127</v>
      </c>
      <c r="D251" s="36" t="n">
        <v>1</v>
      </c>
      <c r="E251" s="35" t="str">
        <f aca="false">IF($C251="","",IFERROR(INDEX(Insumos_Unidade,MATCH($C251,Insumos_Ingrediente,0)),""))</f>
        <v>un</v>
      </c>
      <c r="F251" s="19" t="n">
        <f aca="false">IFERROR(INDEX(Insumos_CustoUnit,MATCH($C251,Insumos_Ingrediente,0)),0)</f>
        <v>0.0923</v>
      </c>
      <c r="G251" s="19" t="n">
        <f aca="false">$D251*$F251</f>
        <v>0.0923</v>
      </c>
      <c r="H251" s="38" t="n">
        <f aca="false">IF(OR($E251="g",$E251="ml"),$D251,0)</f>
        <v>0</v>
      </c>
      <c r="I251" s="38" t="n">
        <f aca="false">IF($C251="Açaí",1,0)</f>
        <v>0</v>
      </c>
      <c r="J251" s="38" t="n">
        <f aca="false">IF($C251="Banana",1,0)</f>
        <v>0</v>
      </c>
      <c r="K251" s="38" t="n">
        <f aca="false">IF($C251="Whey Protein",1,0)</f>
        <v>0</v>
      </c>
      <c r="L251" s="38" t="n">
        <f aca="false">IF(ISNUMBER(SEARCH("Copo",$C251)),1,0)</f>
        <v>0</v>
      </c>
    </row>
    <row r="252" customFormat="false" ht="15" hidden="false" customHeight="true" outlineLevel="0" collapsed="false">
      <c r="A252" s="29" t="s">
        <v>204</v>
      </c>
      <c r="B252" s="35" t="str">
        <f aca="false">IF($C252="","",IFERROR(INDEX(Insumos_Categoria,MATCH($C252,Insumos_Ingrediente,0)),""))</f>
        <v>Consumíveis</v>
      </c>
      <c r="C252" s="29" t="s">
        <v>141</v>
      </c>
      <c r="D252" s="36" t="n">
        <v>1</v>
      </c>
      <c r="E252" s="35" t="str">
        <f aca="false">IF($C252="","",IFERROR(INDEX(Insumos_Unidade,MATCH($C252,Insumos_Ingrediente,0)),""))</f>
        <v>un</v>
      </c>
      <c r="F252" s="19" t="n">
        <f aca="false">IFERROR(INDEX(Insumos_CustoUnit,MATCH($C252,Insumos_Ingrediente,0)),0)</f>
        <v>0.0938</v>
      </c>
      <c r="G252" s="19" t="n">
        <f aca="false">$D252*$F252</f>
        <v>0.0938</v>
      </c>
      <c r="H252" s="38" t="n">
        <f aca="false">IF(OR($E252="g",$E252="ml"),$D252,0)</f>
        <v>0</v>
      </c>
      <c r="I252" s="38" t="n">
        <f aca="false">IF($C252="Açaí",1,0)</f>
        <v>0</v>
      </c>
      <c r="J252" s="38" t="n">
        <f aca="false">IF($C252="Banana",1,0)</f>
        <v>0</v>
      </c>
      <c r="K252" s="38" t="n">
        <f aca="false">IF($C252="Whey Protein",1,0)</f>
        <v>0</v>
      </c>
      <c r="L252" s="38" t="n">
        <f aca="false">IF(ISNUMBER(SEARCH("Copo",$C252)),1,0)</f>
        <v>0</v>
      </c>
    </row>
    <row r="253" customFormat="false" ht="15" hidden="false" customHeight="true" outlineLevel="0" collapsed="false">
      <c r="A253" s="29" t="s">
        <v>204</v>
      </c>
      <c r="B253" s="35" t="str">
        <f aca="false">IF($C253="","",IFERROR(INDEX(Insumos_Categoria,MATCH($C253,Insumos_Ingrediente,0)),""))</f>
        <v>Consumíveis</v>
      </c>
      <c r="C253" s="29" t="s">
        <v>143</v>
      </c>
      <c r="D253" s="36" t="n">
        <v>1</v>
      </c>
      <c r="E253" s="35" t="str">
        <f aca="false">IF($C253="","",IFERROR(INDEX(Insumos_Unidade,MATCH($C253,Insumos_Ingrediente,0)),""))</f>
        <v>un</v>
      </c>
      <c r="F253" s="19" t="n">
        <f aca="false">IFERROR(INDEX(Insumos_CustoUnit,MATCH($C253,Insumos_Ingrediente,0)),0)</f>
        <v>0</v>
      </c>
      <c r="G253" s="19" t="n">
        <f aca="false">$D253*$F253</f>
        <v>0</v>
      </c>
      <c r="H253" s="38" t="n">
        <f aca="false">IF(OR($E253="g",$E253="ml"),$D253,0)</f>
        <v>0</v>
      </c>
      <c r="I253" s="38" t="n">
        <f aca="false">IF($C253="Açaí",1,0)</f>
        <v>0</v>
      </c>
      <c r="J253" s="38" t="n">
        <f aca="false">IF($C253="Banana",1,0)</f>
        <v>0</v>
      </c>
      <c r="K253" s="38" t="n">
        <f aca="false">IF($C253="Whey Protein",1,0)</f>
        <v>0</v>
      </c>
      <c r="L253" s="38" t="n">
        <f aca="false">IF(ISNUMBER(SEARCH("Copo",$C253)),1,0)</f>
        <v>0</v>
      </c>
    </row>
    <row r="254" customFormat="false" ht="15" hidden="false" customHeight="true" outlineLevel="0" collapsed="false">
      <c r="A254" s="29" t="s">
        <v>131</v>
      </c>
      <c r="B254" s="35" t="str">
        <f aca="false">IF($C254="","",IFERROR(INDEX(Insumos_Categoria,MATCH($C254,Insumos_Ingrediente,0)),""))</f>
        <v>Linha Premium (Comprada)</v>
      </c>
      <c r="C254" s="29" t="s">
        <v>131</v>
      </c>
      <c r="D254" s="36" t="n">
        <v>1</v>
      </c>
      <c r="E254" s="35" t="str">
        <f aca="false">IF($C254="","",IFERROR(INDEX(Insumos_Unidade,MATCH($C254,Insumos_Ingrediente,0)),""))</f>
        <v>un</v>
      </c>
      <c r="F254" s="19" t="n">
        <f aca="false">IFERROR(INDEX(Insumos_CustoUnit,MATCH($C254,Insumos_Ingrediente,0)),0)</f>
        <v>12</v>
      </c>
      <c r="G254" s="19" t="n">
        <f aca="false">$D254*$F254</f>
        <v>12</v>
      </c>
      <c r="H254" s="38" t="n">
        <f aca="false">IF(OR($E254="g",$E254="ml"),$D254,0)</f>
        <v>0</v>
      </c>
      <c r="I254" s="38" t="n">
        <f aca="false">IF($C254="Açaí",1,0)</f>
        <v>0</v>
      </c>
      <c r="J254" s="38" t="n">
        <f aca="false">IF($C254="Banana",1,0)</f>
        <v>0</v>
      </c>
      <c r="K254" s="38" t="n">
        <f aca="false">IF($C254="Whey Protein",1,0)</f>
        <v>0</v>
      </c>
      <c r="L254" s="38" t="n">
        <f aca="false">IF(ISNUMBER(SEARCH("Copo",$C254)),1,0)</f>
        <v>0</v>
      </c>
    </row>
    <row r="255" customFormat="false" ht="15" hidden="false" customHeight="true" outlineLevel="0" collapsed="false">
      <c r="A255" s="29" t="s">
        <v>131</v>
      </c>
      <c r="B255" s="35" t="str">
        <f aca="false">IF($C255="","",IFERROR(INDEX(Insumos_Categoria,MATCH($C255,Insumos_Ingrediente,0)),""))</f>
        <v>Consumíveis</v>
      </c>
      <c r="C255" s="29" t="s">
        <v>141</v>
      </c>
      <c r="D255" s="36" t="n">
        <v>1</v>
      </c>
      <c r="E255" s="35" t="str">
        <f aca="false">IF($C255="","",IFERROR(INDEX(Insumos_Unidade,MATCH($C255,Insumos_Ingrediente,0)),""))</f>
        <v>un</v>
      </c>
      <c r="F255" s="19" t="n">
        <f aca="false">IFERROR(INDEX(Insumos_CustoUnit,MATCH($C255,Insumos_Ingrediente,0)),0)</f>
        <v>0.0938</v>
      </c>
      <c r="G255" s="19" t="n">
        <f aca="false">$D255*$F255</f>
        <v>0.0938</v>
      </c>
      <c r="H255" s="38" t="n">
        <f aca="false">IF(OR($E255="g",$E255="ml"),$D255,0)</f>
        <v>0</v>
      </c>
      <c r="I255" s="38" t="n">
        <f aca="false">IF($C255="Açaí",1,0)</f>
        <v>0</v>
      </c>
      <c r="J255" s="38" t="n">
        <f aca="false">IF($C255="Banana",1,0)</f>
        <v>0</v>
      </c>
      <c r="K255" s="38" t="n">
        <f aca="false">IF($C255="Whey Protein",1,0)</f>
        <v>0</v>
      </c>
      <c r="L255" s="38" t="n">
        <f aca="false">IF(ISNUMBER(SEARCH("Copo",$C255)),1,0)</f>
        <v>0</v>
      </c>
    </row>
    <row r="256" customFormat="false" ht="15" hidden="false" customHeight="true" outlineLevel="0" collapsed="false">
      <c r="A256" s="29" t="s">
        <v>131</v>
      </c>
      <c r="B256" s="35" t="str">
        <f aca="false">IF($C256="","",IFERROR(INDEX(Insumos_Categoria,MATCH($C256,Insumos_Ingrediente,0)),""))</f>
        <v>Consumíveis</v>
      </c>
      <c r="C256" s="29" t="s">
        <v>143</v>
      </c>
      <c r="D256" s="36" t="n">
        <v>1</v>
      </c>
      <c r="E256" s="35" t="str">
        <f aca="false">IF($C256="","",IFERROR(INDEX(Insumos_Unidade,MATCH($C256,Insumos_Ingrediente,0)),""))</f>
        <v>un</v>
      </c>
      <c r="F256" s="19" t="n">
        <f aca="false">IFERROR(INDEX(Insumos_CustoUnit,MATCH($C256,Insumos_Ingrediente,0)),0)</f>
        <v>0</v>
      </c>
      <c r="G256" s="19" t="n">
        <f aca="false">$D256*$F256</f>
        <v>0</v>
      </c>
      <c r="H256" s="38" t="n">
        <f aca="false">IF(OR($E256="g",$E256="ml"),$D256,0)</f>
        <v>0</v>
      </c>
      <c r="I256" s="38" t="n">
        <f aca="false">IF($C256="Açaí",1,0)</f>
        <v>0</v>
      </c>
      <c r="J256" s="38" t="n">
        <f aca="false">IF($C256="Banana",1,0)</f>
        <v>0</v>
      </c>
      <c r="K256" s="38" t="n">
        <f aca="false">IF($C256="Whey Protein",1,0)</f>
        <v>0</v>
      </c>
      <c r="L256" s="38" t="n">
        <f aca="false">IF(ISNUMBER(SEARCH("Copo",$C256)),1,0)</f>
        <v>0</v>
      </c>
    </row>
    <row r="257" customFormat="false" ht="15" hidden="false" customHeight="true" outlineLevel="0" collapsed="false">
      <c r="A257" s="29" t="s">
        <v>134</v>
      </c>
      <c r="B257" s="35" t="str">
        <f aca="false">IF($C257="","",IFERROR(INDEX(Insumos_Categoria,MATCH($C257,Insumos_Ingrediente,0)),""))</f>
        <v>Linha Premium (Comprada)</v>
      </c>
      <c r="C257" s="29" t="s">
        <v>134</v>
      </c>
      <c r="D257" s="36" t="n">
        <v>1</v>
      </c>
      <c r="E257" s="35" t="str">
        <f aca="false">IF($C257="","",IFERROR(INDEX(Insumos_Unidade,MATCH($C257,Insumos_Ingrediente,0)),""))</f>
        <v>un</v>
      </c>
      <c r="F257" s="19" t="n">
        <f aca="false">IFERROR(INDEX(Insumos_CustoUnit,MATCH($C257,Insumos_Ingrediente,0)),0)</f>
        <v>16</v>
      </c>
      <c r="G257" s="19" t="n">
        <f aca="false">$D257*$F257</f>
        <v>16</v>
      </c>
      <c r="H257" s="38" t="n">
        <f aca="false">IF(OR($E257="g",$E257="ml"),$D257,0)</f>
        <v>0</v>
      </c>
      <c r="I257" s="38" t="n">
        <f aca="false">IF($C257="Açaí",1,0)</f>
        <v>0</v>
      </c>
      <c r="J257" s="38" t="n">
        <f aca="false">IF($C257="Banana",1,0)</f>
        <v>0</v>
      </c>
      <c r="K257" s="38" t="n">
        <f aca="false">IF($C257="Whey Protein",1,0)</f>
        <v>0</v>
      </c>
      <c r="L257" s="38" t="n">
        <f aca="false">IF(ISNUMBER(SEARCH("Copo",$C257)),1,0)</f>
        <v>0</v>
      </c>
    </row>
    <row r="258" customFormat="false" ht="15" hidden="false" customHeight="true" outlineLevel="0" collapsed="false">
      <c r="A258" s="29" t="s">
        <v>134</v>
      </c>
      <c r="B258" s="35" t="str">
        <f aca="false">IF($C258="","",IFERROR(INDEX(Insumos_Categoria,MATCH($C258,Insumos_Ingrediente,0)),""))</f>
        <v>Consumíveis</v>
      </c>
      <c r="C258" s="29" t="s">
        <v>141</v>
      </c>
      <c r="D258" s="36" t="n">
        <v>1</v>
      </c>
      <c r="E258" s="35" t="str">
        <f aca="false">IF($C258="","",IFERROR(INDEX(Insumos_Unidade,MATCH($C258,Insumos_Ingrediente,0)),""))</f>
        <v>un</v>
      </c>
      <c r="F258" s="19" t="n">
        <f aca="false">IFERROR(INDEX(Insumos_CustoUnit,MATCH($C258,Insumos_Ingrediente,0)),0)</f>
        <v>0.0938</v>
      </c>
      <c r="G258" s="19" t="n">
        <f aca="false">$D258*$F258</f>
        <v>0.0938</v>
      </c>
      <c r="H258" s="38" t="n">
        <f aca="false">IF(OR($E258="g",$E258="ml"),$D258,0)</f>
        <v>0</v>
      </c>
      <c r="I258" s="38" t="n">
        <f aca="false">IF($C258="Açaí",1,0)</f>
        <v>0</v>
      </c>
      <c r="J258" s="38" t="n">
        <f aca="false">IF($C258="Banana",1,0)</f>
        <v>0</v>
      </c>
      <c r="K258" s="38" t="n">
        <f aca="false">IF($C258="Whey Protein",1,0)</f>
        <v>0</v>
      </c>
      <c r="L258" s="38" t="n">
        <f aca="false">IF(ISNUMBER(SEARCH("Copo",$C258)),1,0)</f>
        <v>0</v>
      </c>
    </row>
    <row r="259" customFormat="false" ht="15" hidden="false" customHeight="true" outlineLevel="0" collapsed="false">
      <c r="A259" s="29" t="s">
        <v>134</v>
      </c>
      <c r="B259" s="35" t="str">
        <f aca="false">IF($C259="","",IFERROR(INDEX(Insumos_Categoria,MATCH($C259,Insumos_Ingrediente,0)),""))</f>
        <v>Consumíveis</v>
      </c>
      <c r="C259" s="29" t="s">
        <v>143</v>
      </c>
      <c r="D259" s="36" t="n">
        <v>1</v>
      </c>
      <c r="E259" s="35" t="str">
        <f aca="false">IF($C259="","",IFERROR(INDEX(Insumos_Unidade,MATCH($C259,Insumos_Ingrediente,0)),""))</f>
        <v>un</v>
      </c>
      <c r="F259" s="19" t="n">
        <f aca="false">IFERROR(INDEX(Insumos_CustoUnit,MATCH($C259,Insumos_Ingrediente,0)),0)</f>
        <v>0</v>
      </c>
      <c r="G259" s="19" t="n">
        <f aca="false">$D259*$F259</f>
        <v>0</v>
      </c>
      <c r="H259" s="38" t="n">
        <f aca="false">IF(OR($E259="g",$E259="ml"),$D259,0)</f>
        <v>0</v>
      </c>
      <c r="I259" s="38" t="n">
        <f aca="false">IF($C259="Açaí",1,0)</f>
        <v>0</v>
      </c>
      <c r="J259" s="38" t="n">
        <f aca="false">IF($C259="Banana",1,0)</f>
        <v>0</v>
      </c>
      <c r="K259" s="38" t="n">
        <f aca="false">IF($C259="Whey Protein",1,0)</f>
        <v>0</v>
      </c>
      <c r="L259" s="38" t="n">
        <f aca="false">IF(ISNUMBER(SEARCH("Copo",$C259)),1,0)</f>
        <v>0</v>
      </c>
    </row>
    <row r="260" customFormat="false" ht="15" hidden="false" customHeight="true" outlineLevel="0" collapsed="false">
      <c r="A260" s="29" t="s">
        <v>135</v>
      </c>
      <c r="B260" s="35" t="str">
        <f aca="false">IF($C260="","",IFERROR(INDEX(Insumos_Categoria,MATCH($C260,Insumos_Ingrediente,0)),""))</f>
        <v>Linha Premium (Comprada)</v>
      </c>
      <c r="C260" s="29" t="s">
        <v>135</v>
      </c>
      <c r="D260" s="36" t="n">
        <v>1</v>
      </c>
      <c r="E260" s="35" t="str">
        <f aca="false">IF($C260="","",IFERROR(INDEX(Insumos_Unidade,MATCH($C260,Insumos_Ingrediente,0)),""))</f>
        <v>un</v>
      </c>
      <c r="F260" s="19" t="n">
        <f aca="false">IFERROR(INDEX(Insumos_CustoUnit,MATCH($C260,Insumos_Ingrediente,0)),0)</f>
        <v>10</v>
      </c>
      <c r="G260" s="19" t="n">
        <f aca="false">$D260*$F260</f>
        <v>10</v>
      </c>
      <c r="H260" s="38" t="n">
        <f aca="false">IF(OR($E260="g",$E260="ml"),$D260,0)</f>
        <v>0</v>
      </c>
      <c r="I260" s="38" t="n">
        <f aca="false">IF($C260="Açaí",1,0)</f>
        <v>0</v>
      </c>
      <c r="J260" s="38" t="n">
        <f aca="false">IF($C260="Banana",1,0)</f>
        <v>0</v>
      </c>
      <c r="K260" s="38" t="n">
        <f aca="false">IF($C260="Whey Protein",1,0)</f>
        <v>0</v>
      </c>
      <c r="L260" s="38" t="n">
        <f aca="false">IF(ISNUMBER(SEARCH("Copo",$C260)),1,0)</f>
        <v>0</v>
      </c>
    </row>
    <row r="261" customFormat="false" ht="15" hidden="false" customHeight="true" outlineLevel="0" collapsed="false">
      <c r="A261" s="29" t="s">
        <v>135</v>
      </c>
      <c r="B261" s="35" t="str">
        <f aca="false">IF($C261="","",IFERROR(INDEX(Insumos_Categoria,MATCH($C261,Insumos_Ingrediente,0)),""))</f>
        <v>Consumíveis</v>
      </c>
      <c r="C261" s="29" t="s">
        <v>141</v>
      </c>
      <c r="D261" s="36" t="n">
        <v>1</v>
      </c>
      <c r="E261" s="35" t="str">
        <f aca="false">IF($C261="","",IFERROR(INDEX(Insumos_Unidade,MATCH($C261,Insumos_Ingrediente,0)),""))</f>
        <v>un</v>
      </c>
      <c r="F261" s="19" t="n">
        <f aca="false">IFERROR(INDEX(Insumos_CustoUnit,MATCH($C261,Insumos_Ingrediente,0)),0)</f>
        <v>0.0938</v>
      </c>
      <c r="G261" s="19" t="n">
        <f aca="false">$D261*$F261</f>
        <v>0.0938</v>
      </c>
      <c r="H261" s="38" t="n">
        <f aca="false">IF(OR($E261="g",$E261="ml"),$D261,0)</f>
        <v>0</v>
      </c>
      <c r="I261" s="38" t="n">
        <f aca="false">IF($C261="Açaí",1,0)</f>
        <v>0</v>
      </c>
      <c r="J261" s="38" t="n">
        <f aca="false">IF($C261="Banana",1,0)</f>
        <v>0</v>
      </c>
      <c r="K261" s="38" t="n">
        <f aca="false">IF($C261="Whey Protein",1,0)</f>
        <v>0</v>
      </c>
      <c r="L261" s="38" t="n">
        <f aca="false">IF(ISNUMBER(SEARCH("Copo",$C261)),1,0)</f>
        <v>0</v>
      </c>
    </row>
    <row r="262" customFormat="false" ht="15" hidden="false" customHeight="true" outlineLevel="0" collapsed="false">
      <c r="A262" s="29" t="s">
        <v>135</v>
      </c>
      <c r="B262" s="35" t="str">
        <f aca="false">IF($C262="","",IFERROR(INDEX(Insumos_Categoria,MATCH($C262,Insumos_Ingrediente,0)),""))</f>
        <v>Consumíveis</v>
      </c>
      <c r="C262" s="29" t="s">
        <v>143</v>
      </c>
      <c r="D262" s="36" t="n">
        <v>1</v>
      </c>
      <c r="E262" s="35" t="str">
        <f aca="false">IF($C262="","",IFERROR(INDEX(Insumos_Unidade,MATCH($C262,Insumos_Ingrediente,0)),""))</f>
        <v>un</v>
      </c>
      <c r="F262" s="19" t="n">
        <f aca="false">IFERROR(INDEX(Insumos_CustoUnit,MATCH($C262,Insumos_Ingrediente,0)),0)</f>
        <v>0</v>
      </c>
      <c r="G262" s="19" t="n">
        <f aca="false">$D262*$F262</f>
        <v>0</v>
      </c>
      <c r="H262" s="38" t="n">
        <f aca="false">IF(OR($E262="g",$E262="ml"),$D262,0)</f>
        <v>0</v>
      </c>
      <c r="I262" s="38" t="n">
        <f aca="false">IF($C262="Açaí",1,0)</f>
        <v>0</v>
      </c>
      <c r="J262" s="38" t="n">
        <f aca="false">IF($C262="Banana",1,0)</f>
        <v>0</v>
      </c>
      <c r="K262" s="38" t="n">
        <f aca="false">IF($C262="Whey Protein",1,0)</f>
        <v>0</v>
      </c>
      <c r="L262" s="38" t="n">
        <f aca="false">IF(ISNUMBER(SEARCH("Copo",$C262)),1,0)</f>
        <v>0</v>
      </c>
    </row>
    <row r="263" customFormat="false" ht="15" hidden="false" customHeight="true" outlineLevel="0" collapsed="false">
      <c r="A263" s="29" t="s">
        <v>136</v>
      </c>
      <c r="B263" s="35" t="str">
        <f aca="false">IF($C263="","",IFERROR(INDEX(Insumos_Categoria,MATCH($C263,Insumos_Ingrediente,0)),""))</f>
        <v>Linha Premium (Comprada)</v>
      </c>
      <c r="C263" s="29" t="s">
        <v>136</v>
      </c>
      <c r="D263" s="36" t="n">
        <v>1</v>
      </c>
      <c r="E263" s="35" t="str">
        <f aca="false">IF($C263="","",IFERROR(INDEX(Insumos_Unidade,MATCH($C263,Insumos_Ingrediente,0)),""))</f>
        <v>un</v>
      </c>
      <c r="F263" s="19" t="n">
        <f aca="false">IFERROR(INDEX(Insumos_CustoUnit,MATCH($C263,Insumos_Ingrediente,0)),0)</f>
        <v>15</v>
      </c>
      <c r="G263" s="19" t="n">
        <f aca="false">$D263*$F263</f>
        <v>15</v>
      </c>
      <c r="H263" s="38" t="n">
        <f aca="false">IF(OR($E263="g",$E263="ml"),$D263,0)</f>
        <v>0</v>
      </c>
      <c r="I263" s="38" t="n">
        <f aca="false">IF($C263="Açaí",1,0)</f>
        <v>0</v>
      </c>
      <c r="J263" s="38" t="n">
        <f aca="false">IF($C263="Banana",1,0)</f>
        <v>0</v>
      </c>
      <c r="K263" s="38" t="n">
        <f aca="false">IF($C263="Whey Protein",1,0)</f>
        <v>0</v>
      </c>
      <c r="L263" s="38" t="n">
        <f aca="false">IF(ISNUMBER(SEARCH("Copo",$C263)),1,0)</f>
        <v>0</v>
      </c>
    </row>
    <row r="264" customFormat="false" ht="15" hidden="false" customHeight="true" outlineLevel="0" collapsed="false">
      <c r="A264" s="29" t="s">
        <v>136</v>
      </c>
      <c r="B264" s="35" t="str">
        <f aca="false">IF($C264="","",IFERROR(INDEX(Insumos_Categoria,MATCH($C264,Insumos_Ingrediente,0)),""))</f>
        <v>Consumíveis</v>
      </c>
      <c r="C264" s="29" t="s">
        <v>141</v>
      </c>
      <c r="D264" s="36" t="n">
        <v>1</v>
      </c>
      <c r="E264" s="35" t="str">
        <f aca="false">IF($C264="","",IFERROR(INDEX(Insumos_Unidade,MATCH($C264,Insumos_Ingrediente,0)),""))</f>
        <v>un</v>
      </c>
      <c r="F264" s="19" t="n">
        <f aca="false">IFERROR(INDEX(Insumos_CustoUnit,MATCH($C264,Insumos_Ingrediente,0)),0)</f>
        <v>0.0938</v>
      </c>
      <c r="G264" s="19" t="n">
        <f aca="false">$D264*$F264</f>
        <v>0.0938</v>
      </c>
      <c r="H264" s="38" t="n">
        <f aca="false">IF(OR($E264="g",$E264="ml"),$D264,0)</f>
        <v>0</v>
      </c>
      <c r="I264" s="38" t="n">
        <f aca="false">IF($C264="Açaí",1,0)</f>
        <v>0</v>
      </c>
      <c r="J264" s="38" t="n">
        <f aca="false">IF($C264="Banana",1,0)</f>
        <v>0</v>
      </c>
      <c r="K264" s="38" t="n">
        <f aca="false">IF($C264="Whey Protein",1,0)</f>
        <v>0</v>
      </c>
      <c r="L264" s="38" t="n">
        <f aca="false">IF(ISNUMBER(SEARCH("Copo",$C264)),1,0)</f>
        <v>0</v>
      </c>
    </row>
    <row r="265" customFormat="false" ht="15" hidden="false" customHeight="true" outlineLevel="0" collapsed="false">
      <c r="A265" s="29" t="s">
        <v>136</v>
      </c>
      <c r="B265" s="35" t="str">
        <f aca="false">IF($C265="","",IFERROR(INDEX(Insumos_Categoria,MATCH($C265,Insumos_Ingrediente,0)),""))</f>
        <v>Consumíveis</v>
      </c>
      <c r="C265" s="29" t="s">
        <v>143</v>
      </c>
      <c r="D265" s="36" t="n">
        <v>1</v>
      </c>
      <c r="E265" s="35" t="str">
        <f aca="false">IF($C265="","",IFERROR(INDEX(Insumos_Unidade,MATCH($C265,Insumos_Ingrediente,0)),""))</f>
        <v>un</v>
      </c>
      <c r="F265" s="19" t="n">
        <f aca="false">IFERROR(INDEX(Insumos_CustoUnit,MATCH($C265,Insumos_Ingrediente,0)),0)</f>
        <v>0</v>
      </c>
      <c r="G265" s="19" t="n">
        <f aca="false">$D265*$F265</f>
        <v>0</v>
      </c>
      <c r="H265" s="38" t="n">
        <f aca="false">IF(OR($E265="g",$E265="ml"),$D265,0)</f>
        <v>0</v>
      </c>
      <c r="I265" s="38" t="n">
        <f aca="false">IF($C265="Açaí",1,0)</f>
        <v>0</v>
      </c>
      <c r="J265" s="38" t="n">
        <f aca="false">IF($C265="Banana",1,0)</f>
        <v>0</v>
      </c>
      <c r="K265" s="38" t="n">
        <f aca="false">IF($C265="Whey Protein",1,0)</f>
        <v>0</v>
      </c>
      <c r="L265" s="38" t="n">
        <f aca="false">IF(ISNUMBER(SEARCH("Copo",$C265)),1,0)</f>
        <v>0</v>
      </c>
    </row>
    <row r="266" customFormat="false" ht="15" hidden="false" customHeight="true" outlineLevel="0" collapsed="false">
      <c r="A266" s="29" t="s">
        <v>137</v>
      </c>
      <c r="B266" s="35" t="str">
        <f aca="false">IF($C266="","",IFERROR(INDEX(Insumos_Categoria,MATCH($C266,Insumos_Ingrediente,0)),""))</f>
        <v>Linha Premium (Comprada)</v>
      </c>
      <c r="C266" s="29" t="s">
        <v>137</v>
      </c>
      <c r="D266" s="36" t="n">
        <v>1</v>
      </c>
      <c r="E266" s="35" t="str">
        <f aca="false">IF($C266="","",IFERROR(INDEX(Insumos_Unidade,MATCH($C266,Insumos_Ingrediente,0)),""))</f>
        <v>un</v>
      </c>
      <c r="F266" s="19" t="n">
        <f aca="false">IFERROR(INDEX(Insumos_CustoUnit,MATCH($C266,Insumos_Ingrediente,0)),0)</f>
        <v>10</v>
      </c>
      <c r="G266" s="19" t="n">
        <f aca="false">$D266*$F266</f>
        <v>10</v>
      </c>
      <c r="H266" s="38" t="n">
        <f aca="false">IF(OR($E266="g",$E266="ml"),$D266,0)</f>
        <v>0</v>
      </c>
      <c r="I266" s="38" t="n">
        <f aca="false">IF($C266="Açaí",1,0)</f>
        <v>0</v>
      </c>
      <c r="J266" s="38" t="n">
        <f aca="false">IF($C266="Banana",1,0)</f>
        <v>0</v>
      </c>
      <c r="K266" s="38" t="n">
        <f aca="false">IF($C266="Whey Protein",1,0)</f>
        <v>0</v>
      </c>
      <c r="L266" s="38" t="n">
        <f aca="false">IF(ISNUMBER(SEARCH("Copo",$C266)),1,0)</f>
        <v>0</v>
      </c>
    </row>
    <row r="267" customFormat="false" ht="15" hidden="false" customHeight="true" outlineLevel="0" collapsed="false">
      <c r="A267" s="29" t="s">
        <v>137</v>
      </c>
      <c r="B267" s="35" t="str">
        <f aca="false">IF($C267="","",IFERROR(INDEX(Insumos_Categoria,MATCH($C267,Insumos_Ingrediente,0)),""))</f>
        <v>Consumíveis</v>
      </c>
      <c r="C267" s="29" t="s">
        <v>141</v>
      </c>
      <c r="D267" s="36" t="n">
        <v>1</v>
      </c>
      <c r="E267" s="35" t="str">
        <f aca="false">IF($C267="","",IFERROR(INDEX(Insumos_Unidade,MATCH($C267,Insumos_Ingrediente,0)),""))</f>
        <v>un</v>
      </c>
      <c r="F267" s="19" t="n">
        <f aca="false">IFERROR(INDEX(Insumos_CustoUnit,MATCH($C267,Insumos_Ingrediente,0)),0)</f>
        <v>0.0938</v>
      </c>
      <c r="G267" s="19" t="n">
        <f aca="false">$D267*$F267</f>
        <v>0.0938</v>
      </c>
      <c r="H267" s="38" t="n">
        <f aca="false">IF(OR($E267="g",$E267="ml"),$D267,0)</f>
        <v>0</v>
      </c>
      <c r="I267" s="38" t="n">
        <f aca="false">IF($C267="Açaí",1,0)</f>
        <v>0</v>
      </c>
      <c r="J267" s="38" t="n">
        <f aca="false">IF($C267="Banana",1,0)</f>
        <v>0</v>
      </c>
      <c r="K267" s="38" t="n">
        <f aca="false">IF($C267="Whey Protein",1,0)</f>
        <v>0</v>
      </c>
      <c r="L267" s="38" t="n">
        <f aca="false">IF(ISNUMBER(SEARCH("Copo",$C267)),1,0)</f>
        <v>0</v>
      </c>
    </row>
    <row r="268" customFormat="false" ht="15" hidden="false" customHeight="true" outlineLevel="0" collapsed="false">
      <c r="A268" s="29" t="s">
        <v>137</v>
      </c>
      <c r="B268" s="35" t="str">
        <f aca="false">IF($C268="","",IFERROR(INDEX(Insumos_Categoria,MATCH($C268,Insumos_Ingrediente,0)),""))</f>
        <v>Consumíveis</v>
      </c>
      <c r="C268" s="29" t="s">
        <v>143</v>
      </c>
      <c r="D268" s="36" t="n">
        <v>1</v>
      </c>
      <c r="E268" s="35" t="str">
        <f aca="false">IF($C268="","",IFERROR(INDEX(Insumos_Unidade,MATCH($C268,Insumos_Ingrediente,0)),""))</f>
        <v>un</v>
      </c>
      <c r="F268" s="19" t="n">
        <f aca="false">IFERROR(INDEX(Insumos_CustoUnit,MATCH($C268,Insumos_Ingrediente,0)),0)</f>
        <v>0</v>
      </c>
      <c r="G268" s="19" t="n">
        <f aca="false">$D268*$F268</f>
        <v>0</v>
      </c>
      <c r="H268" s="38" t="n">
        <f aca="false">IF(OR($E268="g",$E268="ml"),$D268,0)</f>
        <v>0</v>
      </c>
      <c r="I268" s="38" t="n">
        <f aca="false">IF($C268="Açaí",1,0)</f>
        <v>0</v>
      </c>
      <c r="J268" s="38" t="n">
        <f aca="false">IF($C268="Banana",1,0)</f>
        <v>0</v>
      </c>
      <c r="K268" s="38" t="n">
        <f aca="false">IF($C268="Whey Protein",1,0)</f>
        <v>0</v>
      </c>
      <c r="L268" s="38" t="n">
        <f aca="false">IF(ISNUMBER(SEARCH("Copo",$C268)),1,0)</f>
        <v>0</v>
      </c>
    </row>
    <row r="269" customFormat="false" ht="15" hidden="false" customHeight="true" outlineLevel="0" collapsed="false">
      <c r="A269" s="29" t="s">
        <v>138</v>
      </c>
      <c r="B269" s="35" t="str">
        <f aca="false">IF($C269="","",IFERROR(INDEX(Insumos_Categoria,MATCH($C269,Insumos_Ingrediente,0)),""))</f>
        <v>Linha Premium (Comprada)</v>
      </c>
      <c r="C269" s="29" t="s">
        <v>138</v>
      </c>
      <c r="D269" s="36" t="n">
        <v>1</v>
      </c>
      <c r="E269" s="35" t="str">
        <f aca="false">IF($C269="","",IFERROR(INDEX(Insumos_Unidade,MATCH($C269,Insumos_Ingrediente,0)),""))</f>
        <v>un</v>
      </c>
      <c r="F269" s="19" t="n">
        <f aca="false">IFERROR(INDEX(Insumos_CustoUnit,MATCH($C269,Insumos_Ingrediente,0)),0)</f>
        <v>15</v>
      </c>
      <c r="G269" s="19" t="n">
        <f aca="false">$D269*$F269</f>
        <v>15</v>
      </c>
      <c r="H269" s="38" t="n">
        <f aca="false">IF(OR($E269="g",$E269="ml"),$D269,0)</f>
        <v>0</v>
      </c>
      <c r="I269" s="38" t="n">
        <f aca="false">IF($C269="Açaí",1,0)</f>
        <v>0</v>
      </c>
      <c r="J269" s="38" t="n">
        <f aca="false">IF($C269="Banana",1,0)</f>
        <v>0</v>
      </c>
      <c r="K269" s="38" t="n">
        <f aca="false">IF($C269="Whey Protein",1,0)</f>
        <v>0</v>
      </c>
      <c r="L269" s="38" t="n">
        <f aca="false">IF(ISNUMBER(SEARCH("Copo",$C269)),1,0)</f>
        <v>0</v>
      </c>
    </row>
    <row r="270" customFormat="false" ht="15" hidden="false" customHeight="true" outlineLevel="0" collapsed="false">
      <c r="A270" s="29" t="s">
        <v>138</v>
      </c>
      <c r="B270" s="35" t="str">
        <f aca="false">IF($C270="","",IFERROR(INDEX(Insumos_Categoria,MATCH($C270,Insumos_Ingrediente,0)),""))</f>
        <v>Consumíveis</v>
      </c>
      <c r="C270" s="29" t="s">
        <v>141</v>
      </c>
      <c r="D270" s="36" t="n">
        <v>1</v>
      </c>
      <c r="E270" s="35" t="str">
        <f aca="false">IF($C270="","",IFERROR(INDEX(Insumos_Unidade,MATCH($C270,Insumos_Ingrediente,0)),""))</f>
        <v>un</v>
      </c>
      <c r="F270" s="19" t="n">
        <f aca="false">IFERROR(INDEX(Insumos_CustoUnit,MATCH($C270,Insumos_Ingrediente,0)),0)</f>
        <v>0.0938</v>
      </c>
      <c r="G270" s="19" t="n">
        <f aca="false">$D270*$F270</f>
        <v>0.0938</v>
      </c>
      <c r="H270" s="38" t="n">
        <f aca="false">IF(OR($E270="g",$E270="ml"),$D270,0)</f>
        <v>0</v>
      </c>
      <c r="I270" s="38" t="n">
        <f aca="false">IF($C270="Açaí",1,0)</f>
        <v>0</v>
      </c>
      <c r="J270" s="38" t="n">
        <f aca="false">IF($C270="Banana",1,0)</f>
        <v>0</v>
      </c>
      <c r="K270" s="38" t="n">
        <f aca="false">IF($C270="Whey Protein",1,0)</f>
        <v>0</v>
      </c>
      <c r="L270" s="38" t="n">
        <f aca="false">IF(ISNUMBER(SEARCH("Copo",$C270)),1,0)</f>
        <v>0</v>
      </c>
    </row>
    <row r="271" customFormat="false" ht="15" hidden="false" customHeight="true" outlineLevel="0" collapsed="false">
      <c r="A271" s="29" t="s">
        <v>138</v>
      </c>
      <c r="B271" s="35" t="str">
        <f aca="false">IF($C271="","",IFERROR(INDEX(Insumos_Categoria,MATCH($C271,Insumos_Ingrediente,0)),""))</f>
        <v>Consumíveis</v>
      </c>
      <c r="C271" s="29" t="s">
        <v>143</v>
      </c>
      <c r="D271" s="36" t="n">
        <v>1</v>
      </c>
      <c r="E271" s="35" t="str">
        <f aca="false">IF($C271="","",IFERROR(INDEX(Insumos_Unidade,MATCH($C271,Insumos_Ingrediente,0)),""))</f>
        <v>un</v>
      </c>
      <c r="F271" s="19" t="n">
        <f aca="false">IFERROR(INDEX(Insumos_CustoUnit,MATCH($C271,Insumos_Ingrediente,0)),0)</f>
        <v>0</v>
      </c>
      <c r="G271" s="19" t="n">
        <f aca="false">$D271*$F271</f>
        <v>0</v>
      </c>
      <c r="H271" s="38" t="n">
        <f aca="false">IF(OR($E271="g",$E271="ml"),$D271,0)</f>
        <v>0</v>
      </c>
      <c r="I271" s="38" t="n">
        <f aca="false">IF($C271="Açaí",1,0)</f>
        <v>0</v>
      </c>
      <c r="J271" s="38" t="n">
        <f aca="false">IF($C271="Banana",1,0)</f>
        <v>0</v>
      </c>
      <c r="K271" s="38" t="n">
        <f aca="false">IF($C271="Whey Protein",1,0)</f>
        <v>0</v>
      </c>
      <c r="L271" s="38" t="n">
        <f aca="false">IF(ISNUMBER(SEARCH("Copo",$C271)),1,0)</f>
        <v>0</v>
      </c>
    </row>
    <row r="272" customFormat="false" ht="15" hidden="false" customHeight="true" outlineLevel="0" collapsed="false">
      <c r="A272" s="29" t="s">
        <v>139</v>
      </c>
      <c r="B272" s="35" t="str">
        <f aca="false">IF($C272="","",IFERROR(INDEX(Insumos_Categoria,MATCH($C272,Insumos_Ingrediente,0)),""))</f>
        <v>Linha Premium (Comprada)</v>
      </c>
      <c r="C272" s="29" t="s">
        <v>139</v>
      </c>
      <c r="D272" s="36" t="n">
        <v>1</v>
      </c>
      <c r="E272" s="35" t="str">
        <f aca="false">IF($C272="","",IFERROR(INDEX(Insumos_Unidade,MATCH($C272,Insumos_Ingrediente,0)),""))</f>
        <v>un</v>
      </c>
      <c r="F272" s="19" t="n">
        <f aca="false">IFERROR(INDEX(Insumos_CustoUnit,MATCH($C272,Insumos_Ingrediente,0)),0)</f>
        <v>10</v>
      </c>
      <c r="G272" s="19" t="n">
        <f aca="false">$D272*$F272</f>
        <v>10</v>
      </c>
      <c r="H272" s="38" t="n">
        <f aca="false">IF(OR($E272="g",$E272="ml"),$D272,0)</f>
        <v>0</v>
      </c>
      <c r="I272" s="38" t="n">
        <f aca="false">IF($C272="Açaí",1,0)</f>
        <v>0</v>
      </c>
      <c r="J272" s="38" t="n">
        <f aca="false">IF($C272="Banana",1,0)</f>
        <v>0</v>
      </c>
      <c r="K272" s="38" t="n">
        <f aca="false">IF($C272="Whey Protein",1,0)</f>
        <v>0</v>
      </c>
      <c r="L272" s="38" t="n">
        <f aca="false">IF(ISNUMBER(SEARCH("Copo",$C272)),1,0)</f>
        <v>0</v>
      </c>
    </row>
    <row r="273" customFormat="false" ht="15" hidden="false" customHeight="true" outlineLevel="0" collapsed="false">
      <c r="A273" s="29" t="s">
        <v>139</v>
      </c>
      <c r="B273" s="35" t="str">
        <f aca="false">IF($C273="","",IFERROR(INDEX(Insumos_Categoria,MATCH($C273,Insumos_Ingrediente,0)),""))</f>
        <v>Consumíveis</v>
      </c>
      <c r="C273" s="29" t="s">
        <v>141</v>
      </c>
      <c r="D273" s="36" t="n">
        <v>1</v>
      </c>
      <c r="E273" s="35" t="str">
        <f aca="false">IF($C273="","",IFERROR(INDEX(Insumos_Unidade,MATCH($C273,Insumos_Ingrediente,0)),""))</f>
        <v>un</v>
      </c>
      <c r="F273" s="19" t="n">
        <f aca="false">IFERROR(INDEX(Insumos_CustoUnit,MATCH($C273,Insumos_Ingrediente,0)),0)</f>
        <v>0.0938</v>
      </c>
      <c r="G273" s="19" t="n">
        <f aca="false">$D273*$F273</f>
        <v>0.0938</v>
      </c>
      <c r="H273" s="38" t="n">
        <f aca="false">IF(OR($E273="g",$E273="ml"),$D273,0)</f>
        <v>0</v>
      </c>
      <c r="I273" s="38" t="n">
        <f aca="false">IF($C273="Açaí",1,0)</f>
        <v>0</v>
      </c>
      <c r="J273" s="38" t="n">
        <f aca="false">IF($C273="Banana",1,0)</f>
        <v>0</v>
      </c>
      <c r="K273" s="38" t="n">
        <f aca="false">IF($C273="Whey Protein",1,0)</f>
        <v>0</v>
      </c>
      <c r="L273" s="38" t="n">
        <f aca="false">IF(ISNUMBER(SEARCH("Copo",$C273)),1,0)</f>
        <v>0</v>
      </c>
    </row>
    <row r="274" customFormat="false" ht="15" hidden="false" customHeight="true" outlineLevel="0" collapsed="false">
      <c r="A274" s="29" t="s">
        <v>139</v>
      </c>
      <c r="B274" s="35" t="str">
        <f aca="false">IF($C274="","",IFERROR(INDEX(Insumos_Categoria,MATCH($C274,Insumos_Ingrediente,0)),""))</f>
        <v>Consumíveis</v>
      </c>
      <c r="C274" s="29" t="s">
        <v>143</v>
      </c>
      <c r="D274" s="36" t="n">
        <v>1</v>
      </c>
      <c r="E274" s="35" t="str">
        <f aca="false">IF($C274="","",IFERROR(INDEX(Insumos_Unidade,MATCH($C274,Insumos_Ingrediente,0)),""))</f>
        <v>un</v>
      </c>
      <c r="F274" s="19" t="n">
        <f aca="false">IFERROR(INDEX(Insumos_CustoUnit,MATCH($C274,Insumos_Ingrediente,0)),0)</f>
        <v>0</v>
      </c>
      <c r="G274" s="19" t="n">
        <f aca="false">$D274*$F274</f>
        <v>0</v>
      </c>
      <c r="H274" s="38" t="n">
        <f aca="false">IF(OR($E274="g",$E274="ml"),$D274,0)</f>
        <v>0</v>
      </c>
      <c r="I274" s="38" t="n">
        <f aca="false">IF($C274="Açaí",1,0)</f>
        <v>0</v>
      </c>
      <c r="J274" s="38" t="n">
        <f aca="false">IF($C274="Banana",1,0)</f>
        <v>0</v>
      </c>
      <c r="K274" s="38" t="n">
        <f aca="false">IF($C274="Whey Protein",1,0)</f>
        <v>0</v>
      </c>
      <c r="L274" s="38" t="n">
        <f aca="false">IF(ISNUMBER(SEARCH("Copo",$C274)),1,0)</f>
        <v>0</v>
      </c>
    </row>
    <row r="275" customFormat="false" ht="15" hidden="false" customHeight="true" outlineLevel="0" collapsed="false">
      <c r="A275" s="29" t="s">
        <v>140</v>
      </c>
      <c r="B275" s="35" t="str">
        <f aca="false">IF($C275="","",IFERROR(INDEX(Insumos_Categoria,MATCH($C275,Insumos_Ingrediente,0)),""))</f>
        <v>Linha Premium (Comprada)</v>
      </c>
      <c r="C275" s="29" t="s">
        <v>140</v>
      </c>
      <c r="D275" s="36" t="n">
        <v>1</v>
      </c>
      <c r="E275" s="35" t="str">
        <f aca="false">IF($C275="","",IFERROR(INDEX(Insumos_Unidade,MATCH($C275,Insumos_Ingrediente,0)),""))</f>
        <v>un</v>
      </c>
      <c r="F275" s="19" t="n">
        <f aca="false">IFERROR(INDEX(Insumos_CustoUnit,MATCH($C275,Insumos_Ingrediente,0)),0)</f>
        <v>15</v>
      </c>
      <c r="G275" s="19" t="n">
        <f aca="false">$D275*$F275</f>
        <v>15</v>
      </c>
      <c r="H275" s="38" t="n">
        <f aca="false">IF(OR($E275="g",$E275="ml"),$D275,0)</f>
        <v>0</v>
      </c>
      <c r="I275" s="38" t="n">
        <f aca="false">IF($C275="Açaí",1,0)</f>
        <v>0</v>
      </c>
      <c r="J275" s="38" t="n">
        <f aca="false">IF($C275="Banana",1,0)</f>
        <v>0</v>
      </c>
      <c r="K275" s="38" t="n">
        <f aca="false">IF($C275="Whey Protein",1,0)</f>
        <v>0</v>
      </c>
      <c r="L275" s="38" t="n">
        <f aca="false">IF(ISNUMBER(SEARCH("Copo",$C275)),1,0)</f>
        <v>0</v>
      </c>
    </row>
    <row r="276" customFormat="false" ht="15" hidden="false" customHeight="true" outlineLevel="0" collapsed="false">
      <c r="A276" s="29" t="s">
        <v>140</v>
      </c>
      <c r="B276" s="35" t="str">
        <f aca="false">IF($C276="","",IFERROR(INDEX(Insumos_Categoria,MATCH($C276,Insumos_Ingrediente,0)),""))</f>
        <v>Consumíveis</v>
      </c>
      <c r="C276" s="29" t="s">
        <v>141</v>
      </c>
      <c r="D276" s="36" t="n">
        <v>1</v>
      </c>
      <c r="E276" s="35" t="str">
        <f aca="false">IF($C276="","",IFERROR(INDEX(Insumos_Unidade,MATCH($C276,Insumos_Ingrediente,0)),""))</f>
        <v>un</v>
      </c>
      <c r="F276" s="19" t="n">
        <f aca="false">IFERROR(INDEX(Insumos_CustoUnit,MATCH($C276,Insumos_Ingrediente,0)),0)</f>
        <v>0.0938</v>
      </c>
      <c r="G276" s="19" t="n">
        <f aca="false">$D276*$F276</f>
        <v>0.0938</v>
      </c>
      <c r="H276" s="38" t="n">
        <f aca="false">IF(OR($E276="g",$E276="ml"),$D276,0)</f>
        <v>0</v>
      </c>
      <c r="I276" s="38" t="n">
        <f aca="false">IF($C276="Açaí",1,0)</f>
        <v>0</v>
      </c>
      <c r="J276" s="38" t="n">
        <f aca="false">IF($C276="Banana",1,0)</f>
        <v>0</v>
      </c>
      <c r="K276" s="38" t="n">
        <f aca="false">IF($C276="Whey Protein",1,0)</f>
        <v>0</v>
      </c>
      <c r="L276" s="38" t="n">
        <f aca="false">IF(ISNUMBER(SEARCH("Copo",$C276)),1,0)</f>
        <v>0</v>
      </c>
    </row>
    <row r="277" customFormat="false" ht="15" hidden="false" customHeight="true" outlineLevel="0" collapsed="false">
      <c r="A277" s="29" t="s">
        <v>140</v>
      </c>
      <c r="B277" s="35" t="str">
        <f aca="false">IF($C277="","",IFERROR(INDEX(Insumos_Categoria,MATCH($C277,Insumos_Ingrediente,0)),""))</f>
        <v>Consumíveis</v>
      </c>
      <c r="C277" s="29" t="s">
        <v>143</v>
      </c>
      <c r="D277" s="36" t="n">
        <v>1</v>
      </c>
      <c r="E277" s="35" t="str">
        <f aca="false">IF($C277="","",IFERROR(INDEX(Insumos_Unidade,MATCH($C277,Insumos_Ingrediente,0)),""))</f>
        <v>un</v>
      </c>
      <c r="F277" s="19" t="n">
        <f aca="false">IFERROR(INDEX(Insumos_CustoUnit,MATCH($C277,Insumos_Ingrediente,0)),0)</f>
        <v>0</v>
      </c>
      <c r="G277" s="19" t="n">
        <f aca="false">$D277*$F277</f>
        <v>0</v>
      </c>
      <c r="H277" s="38" t="n">
        <f aca="false">IF(OR($E277="g",$E277="ml"),$D277,0)</f>
        <v>0</v>
      </c>
      <c r="I277" s="38" t="n">
        <f aca="false">IF($C277="Açaí",1,0)</f>
        <v>0</v>
      </c>
      <c r="J277" s="38" t="n">
        <f aca="false">IF($C277="Banana",1,0)</f>
        <v>0</v>
      </c>
      <c r="K277" s="38" t="n">
        <f aca="false">IF($C277="Whey Protein",1,0)</f>
        <v>0</v>
      </c>
      <c r="L277" s="38" t="n">
        <f aca="false">IF(ISNUMBER(SEARCH("Copo",$C277)),1,0)</f>
        <v>0</v>
      </c>
    </row>
    <row r="278" customFormat="false" ht="15" hidden="false" customHeight="true" outlineLevel="0" collapsed="false">
      <c r="A278" s="29" t="s">
        <v>205</v>
      </c>
      <c r="B278" s="35" t="str">
        <f aca="false">IF($C278="","",IFERROR(INDEX(Insumos_Categoria,MATCH($C278,Insumos_Ingrediente,0)),""))</f>
        <v>Bases (Produção Própria)</v>
      </c>
      <c r="C278" s="29" t="s">
        <v>88</v>
      </c>
      <c r="D278" s="36" t="n">
        <v>170</v>
      </c>
      <c r="E278" s="35" t="str">
        <f aca="false">IF($C278="","",IFERROR(INDEX(Insumos_Unidade,MATCH($C278,Insumos_Ingrediente,0)),""))</f>
        <v>ml</v>
      </c>
      <c r="F278" s="19" t="n">
        <f aca="false">IFERROR(INDEX(Insumos_CustoUnit,MATCH($C278,Insumos_Ingrediente,0)),0)</f>
        <v>0.0165</v>
      </c>
      <c r="G278" s="19" t="n">
        <f aca="false">$D278*$F278</f>
        <v>2.805</v>
      </c>
      <c r="H278" s="37" t="n">
        <f aca="false">IF(OR($E278="g",$E278="ml"),$D278,0)</f>
        <v>170</v>
      </c>
      <c r="I278" s="38" t="n">
        <f aca="false">IF($C278="Açaí",1,0)</f>
        <v>1</v>
      </c>
      <c r="J278" s="38" t="n">
        <f aca="false">IF($C278="Banana",1,0)</f>
        <v>0</v>
      </c>
      <c r="K278" s="38" t="n">
        <f aca="false">IF($C278="Whey Protein",1,0)</f>
        <v>0</v>
      </c>
      <c r="L278" s="38" t="n">
        <f aca="false">IF(ISNUMBER(SEARCH("Copo",$C278)),1,0)</f>
        <v>0</v>
      </c>
    </row>
    <row r="279" customFormat="false" ht="15" hidden="false" customHeight="true" outlineLevel="0" collapsed="false">
      <c r="A279" s="29" t="s">
        <v>205</v>
      </c>
      <c r="B279" s="35" t="str">
        <f aca="false">IF($C279="","",IFERROR(INDEX(Insumos_Categoria,MATCH($C279,Insumos_Ingrediente,0)),""))</f>
        <v>Embalagens</v>
      </c>
      <c r="C279" s="29" t="s">
        <v>120</v>
      </c>
      <c r="D279" s="36" t="n">
        <v>1</v>
      </c>
      <c r="E279" s="35" t="str">
        <f aca="false">IF($C279="","",IFERROR(INDEX(Insumos_Unidade,MATCH($C279,Insumos_Ingrediente,0)),""))</f>
        <v>un</v>
      </c>
      <c r="F279" s="19" t="n">
        <f aca="false">IFERROR(INDEX(Insumos_CustoUnit,MATCH($C279,Insumos_Ingrediente,0)),0)</f>
        <v>0.1668</v>
      </c>
      <c r="G279" s="19" t="n">
        <f aca="false">$D279*$F279</f>
        <v>0.1668</v>
      </c>
      <c r="H279" s="38" t="n">
        <f aca="false">IF(OR($E279="g",$E279="ml"),$D279,0)</f>
        <v>0</v>
      </c>
      <c r="I279" s="38" t="n">
        <f aca="false">IF($C279="Açaí",1,0)</f>
        <v>0</v>
      </c>
      <c r="J279" s="38" t="n">
        <f aca="false">IF($C279="Banana",1,0)</f>
        <v>0</v>
      </c>
      <c r="K279" s="38" t="n">
        <f aca="false">IF($C279="Whey Protein",1,0)</f>
        <v>0</v>
      </c>
      <c r="L279" s="38" t="n">
        <f aca="false">IF(ISNUMBER(SEARCH("Copo",$C279)),1,0)</f>
        <v>1</v>
      </c>
    </row>
    <row r="280" customFormat="false" ht="15" hidden="false" customHeight="true" outlineLevel="0" collapsed="false">
      <c r="A280" s="29" t="s">
        <v>205</v>
      </c>
      <c r="B280" s="35" t="str">
        <f aca="false">IF($C280="","",IFERROR(INDEX(Insumos_Categoria,MATCH($C280,Insumos_Ingrediente,0)),""))</f>
        <v>Embalagens</v>
      </c>
      <c r="C280" s="29" t="s">
        <v>125</v>
      </c>
      <c r="D280" s="36" t="n">
        <v>1</v>
      </c>
      <c r="E280" s="35" t="str">
        <f aca="false">IF($C280="","",IFERROR(INDEX(Insumos_Unidade,MATCH($C280,Insumos_Ingrediente,0)),""))</f>
        <v>un</v>
      </c>
      <c r="F280" s="19" t="n">
        <f aca="false">IFERROR(INDEX(Insumos_CustoUnit,MATCH($C280,Insumos_Ingrediente,0)),0)</f>
        <v>0.0823</v>
      </c>
      <c r="G280" s="19" t="n">
        <f aca="false">$D280*$F280</f>
        <v>0.0823</v>
      </c>
      <c r="H280" s="38" t="n">
        <f aca="false">IF(OR($E280="g",$E280="ml"),$D280,0)</f>
        <v>0</v>
      </c>
      <c r="I280" s="38" t="n">
        <f aca="false">IF($C280="Açaí",1,0)</f>
        <v>0</v>
      </c>
      <c r="J280" s="38" t="n">
        <f aca="false">IF($C280="Banana",1,0)</f>
        <v>0</v>
      </c>
      <c r="K280" s="38" t="n">
        <f aca="false">IF($C280="Whey Protein",1,0)</f>
        <v>0</v>
      </c>
      <c r="L280" s="38" t="n">
        <f aca="false">IF(ISNUMBER(SEARCH("Copo",$C280)),1,0)</f>
        <v>0</v>
      </c>
    </row>
    <row r="281" customFormat="false" ht="15" hidden="false" customHeight="true" outlineLevel="0" collapsed="false">
      <c r="A281" s="29" t="s">
        <v>205</v>
      </c>
      <c r="B281" s="35" t="str">
        <f aca="false">IF($C281="","",IFERROR(INDEX(Insumos_Categoria,MATCH($C281,Insumos_Ingrediente,0)),""))</f>
        <v>Consumíveis</v>
      </c>
      <c r="C281" s="29" t="s">
        <v>141</v>
      </c>
      <c r="D281" s="36" t="n">
        <v>1</v>
      </c>
      <c r="E281" s="35" t="str">
        <f aca="false">IF($C281="","",IFERROR(INDEX(Insumos_Unidade,MATCH($C281,Insumos_Ingrediente,0)),""))</f>
        <v>un</v>
      </c>
      <c r="F281" s="19" t="n">
        <f aca="false">IFERROR(INDEX(Insumos_CustoUnit,MATCH($C281,Insumos_Ingrediente,0)),0)</f>
        <v>0.0938</v>
      </c>
      <c r="G281" s="19" t="n">
        <f aca="false">$D281*$F281</f>
        <v>0.0938</v>
      </c>
      <c r="H281" s="38" t="n">
        <f aca="false">IF(OR($E281="g",$E281="ml"),$D281,0)</f>
        <v>0</v>
      </c>
      <c r="I281" s="38" t="n">
        <f aca="false">IF($C281="Açaí",1,0)</f>
        <v>0</v>
      </c>
      <c r="J281" s="38" t="n">
        <f aca="false">IF($C281="Banana",1,0)</f>
        <v>0</v>
      </c>
      <c r="K281" s="38" t="n">
        <f aca="false">IF($C281="Whey Protein",1,0)</f>
        <v>0</v>
      </c>
      <c r="L281" s="38" t="n">
        <f aca="false">IF(ISNUMBER(SEARCH("Copo",$C281)),1,0)</f>
        <v>0</v>
      </c>
    </row>
    <row r="282" customFormat="false" ht="15" hidden="false" customHeight="true" outlineLevel="0" collapsed="false">
      <c r="A282" s="29" t="s">
        <v>205</v>
      </c>
      <c r="B282" s="35" t="str">
        <f aca="false">IF($C282="","",IFERROR(INDEX(Insumos_Categoria,MATCH($C282,Insumos_Ingrediente,0)),""))</f>
        <v>Consumíveis</v>
      </c>
      <c r="C282" s="29" t="s">
        <v>143</v>
      </c>
      <c r="D282" s="36" t="n">
        <v>1</v>
      </c>
      <c r="E282" s="35" t="str">
        <f aca="false">IF($C282="","",IFERROR(INDEX(Insumos_Unidade,MATCH($C282,Insumos_Ingrediente,0)),""))</f>
        <v>un</v>
      </c>
      <c r="F282" s="19" t="n">
        <f aca="false">IFERROR(INDEX(Insumos_CustoUnit,MATCH($C282,Insumos_Ingrediente,0)),0)</f>
        <v>0</v>
      </c>
      <c r="G282" s="19" t="n">
        <f aca="false">$D282*$F282</f>
        <v>0</v>
      </c>
      <c r="H282" s="38" t="n">
        <f aca="false">IF(OR($E282="g",$E282="ml"),$D282,0)</f>
        <v>0</v>
      </c>
      <c r="I282" s="38" t="n">
        <f aca="false">IF($C282="Açaí",1,0)</f>
        <v>0</v>
      </c>
      <c r="J282" s="38" t="n">
        <f aca="false">IF($C282="Banana",1,0)</f>
        <v>0</v>
      </c>
      <c r="K282" s="38" t="n">
        <f aca="false">IF($C282="Whey Protein",1,0)</f>
        <v>0</v>
      </c>
      <c r="L282" s="38" t="n">
        <f aca="false">IF(ISNUMBER(SEARCH("Copo",$C282)),1,0)</f>
        <v>0</v>
      </c>
    </row>
    <row r="283" customFormat="false" ht="15" hidden="false" customHeight="true" outlineLevel="0" collapsed="false">
      <c r="A283" s="29" t="s">
        <v>206</v>
      </c>
      <c r="B283" s="35" t="str">
        <f aca="false">IF($C283="","",IFERROR(INDEX(Insumos_Categoria,MATCH($C283,Insumos_Ingrediente,0)),""))</f>
        <v>Bases (Produção Própria)</v>
      </c>
      <c r="C283" s="29" t="s">
        <v>93</v>
      </c>
      <c r="D283" s="36" t="n">
        <v>170</v>
      </c>
      <c r="E283" s="35" t="str">
        <f aca="false">IF($C283="","",IFERROR(INDEX(Insumos_Unidade,MATCH($C283,Insumos_Ingrediente,0)),""))</f>
        <v>ml</v>
      </c>
      <c r="F283" s="19" t="n">
        <f aca="false">IFERROR(INDEX(Insumos_CustoUnit,MATCH($C283,Insumos_Ingrediente,0)),0)</f>
        <v>0.0165</v>
      </c>
      <c r="G283" s="19" t="n">
        <f aca="false">$D283*$F283</f>
        <v>2.805</v>
      </c>
      <c r="H283" s="37" t="n">
        <f aca="false">IF(OR($E283="g",$E283="ml"),$D283,0)</f>
        <v>170</v>
      </c>
      <c r="I283" s="38" t="n">
        <f aca="false">IF($C283="Açaí",1,0)</f>
        <v>0</v>
      </c>
      <c r="J283" s="38" t="n">
        <f aca="false">IF($C283="Banana",1,0)</f>
        <v>0</v>
      </c>
      <c r="K283" s="38" t="n">
        <f aca="false">IF($C283="Whey Protein",1,0)</f>
        <v>0</v>
      </c>
      <c r="L283" s="38" t="n">
        <f aca="false">IF(ISNUMBER(SEARCH("Copo",$C283)),1,0)</f>
        <v>0</v>
      </c>
    </row>
    <row r="284" customFormat="false" ht="15" hidden="false" customHeight="true" outlineLevel="0" collapsed="false">
      <c r="A284" s="29" t="s">
        <v>206</v>
      </c>
      <c r="B284" s="35" t="str">
        <f aca="false">IF($C284="","",IFERROR(INDEX(Insumos_Categoria,MATCH($C284,Insumos_Ingrediente,0)),""))</f>
        <v>Embalagens</v>
      </c>
      <c r="C284" s="29" t="s">
        <v>120</v>
      </c>
      <c r="D284" s="36" t="n">
        <v>1</v>
      </c>
      <c r="E284" s="35" t="str">
        <f aca="false">IF($C284="","",IFERROR(INDEX(Insumos_Unidade,MATCH($C284,Insumos_Ingrediente,0)),""))</f>
        <v>un</v>
      </c>
      <c r="F284" s="19" t="n">
        <f aca="false">IFERROR(INDEX(Insumos_CustoUnit,MATCH($C284,Insumos_Ingrediente,0)),0)</f>
        <v>0.1668</v>
      </c>
      <c r="G284" s="19" t="n">
        <f aca="false">$D284*$F284</f>
        <v>0.1668</v>
      </c>
      <c r="H284" s="38" t="n">
        <f aca="false">IF(OR($E284="g",$E284="ml"),$D284,0)</f>
        <v>0</v>
      </c>
      <c r="I284" s="38" t="n">
        <f aca="false">IF($C284="Açaí",1,0)</f>
        <v>0</v>
      </c>
      <c r="J284" s="38" t="n">
        <f aca="false">IF($C284="Banana",1,0)</f>
        <v>0</v>
      </c>
      <c r="K284" s="38" t="n">
        <f aca="false">IF($C284="Whey Protein",1,0)</f>
        <v>0</v>
      </c>
      <c r="L284" s="38" t="n">
        <f aca="false">IF(ISNUMBER(SEARCH("Copo",$C284)),1,0)</f>
        <v>1</v>
      </c>
    </row>
    <row r="285" customFormat="false" ht="15" hidden="false" customHeight="true" outlineLevel="0" collapsed="false">
      <c r="A285" s="29" t="s">
        <v>206</v>
      </c>
      <c r="B285" s="35" t="str">
        <f aca="false">IF($C285="","",IFERROR(INDEX(Insumos_Categoria,MATCH($C285,Insumos_Ingrediente,0)),""))</f>
        <v>Embalagens</v>
      </c>
      <c r="C285" s="29" t="s">
        <v>125</v>
      </c>
      <c r="D285" s="36" t="n">
        <v>1</v>
      </c>
      <c r="E285" s="35" t="str">
        <f aca="false">IF($C285="","",IFERROR(INDEX(Insumos_Unidade,MATCH($C285,Insumos_Ingrediente,0)),""))</f>
        <v>un</v>
      </c>
      <c r="F285" s="19" t="n">
        <f aca="false">IFERROR(INDEX(Insumos_CustoUnit,MATCH($C285,Insumos_Ingrediente,0)),0)</f>
        <v>0.0823</v>
      </c>
      <c r="G285" s="19" t="n">
        <f aca="false">$D285*$F285</f>
        <v>0.0823</v>
      </c>
      <c r="H285" s="38" t="n">
        <f aca="false">IF(OR($E285="g",$E285="ml"),$D285,0)</f>
        <v>0</v>
      </c>
      <c r="I285" s="38" t="n">
        <f aca="false">IF($C285="Açaí",1,0)</f>
        <v>0</v>
      </c>
      <c r="J285" s="38" t="n">
        <f aca="false">IF($C285="Banana",1,0)</f>
        <v>0</v>
      </c>
      <c r="K285" s="38" t="n">
        <f aca="false">IF($C285="Whey Protein",1,0)</f>
        <v>0</v>
      </c>
      <c r="L285" s="38" t="n">
        <f aca="false">IF(ISNUMBER(SEARCH("Copo",$C285)),1,0)</f>
        <v>0</v>
      </c>
    </row>
    <row r="286" customFormat="false" ht="15" hidden="false" customHeight="true" outlineLevel="0" collapsed="false">
      <c r="A286" s="29" t="s">
        <v>206</v>
      </c>
      <c r="B286" s="35" t="str">
        <f aca="false">IF($C286="","",IFERROR(INDEX(Insumos_Categoria,MATCH($C286,Insumos_Ingrediente,0)),""))</f>
        <v>Consumíveis</v>
      </c>
      <c r="C286" s="29" t="s">
        <v>141</v>
      </c>
      <c r="D286" s="36" t="n">
        <v>1</v>
      </c>
      <c r="E286" s="35" t="str">
        <f aca="false">IF($C286="","",IFERROR(INDEX(Insumos_Unidade,MATCH($C286,Insumos_Ingrediente,0)),""))</f>
        <v>un</v>
      </c>
      <c r="F286" s="19" t="n">
        <f aca="false">IFERROR(INDEX(Insumos_CustoUnit,MATCH($C286,Insumos_Ingrediente,0)),0)</f>
        <v>0.0938</v>
      </c>
      <c r="G286" s="19" t="n">
        <f aca="false">$D286*$F286</f>
        <v>0.0938</v>
      </c>
      <c r="H286" s="38" t="n">
        <f aca="false">IF(OR($E286="g",$E286="ml"),$D286,0)</f>
        <v>0</v>
      </c>
      <c r="I286" s="38" t="n">
        <f aca="false">IF($C286="Açaí",1,0)</f>
        <v>0</v>
      </c>
      <c r="J286" s="38" t="n">
        <f aca="false">IF($C286="Banana",1,0)</f>
        <v>0</v>
      </c>
      <c r="K286" s="38" t="n">
        <f aca="false">IF($C286="Whey Protein",1,0)</f>
        <v>0</v>
      </c>
      <c r="L286" s="38" t="n">
        <f aca="false">IF(ISNUMBER(SEARCH("Copo",$C286)),1,0)</f>
        <v>0</v>
      </c>
    </row>
    <row r="287" customFormat="false" ht="15" hidden="false" customHeight="true" outlineLevel="0" collapsed="false">
      <c r="A287" s="29" t="s">
        <v>206</v>
      </c>
      <c r="B287" s="35" t="str">
        <f aca="false">IF($C287="","",IFERROR(INDEX(Insumos_Categoria,MATCH($C287,Insumos_Ingrediente,0)),""))</f>
        <v>Consumíveis</v>
      </c>
      <c r="C287" s="29" t="s">
        <v>143</v>
      </c>
      <c r="D287" s="36" t="n">
        <v>1</v>
      </c>
      <c r="E287" s="35" t="str">
        <f aca="false">IF($C287="","",IFERROR(INDEX(Insumos_Unidade,MATCH($C287,Insumos_Ingrediente,0)),""))</f>
        <v>un</v>
      </c>
      <c r="F287" s="19" t="n">
        <f aca="false">IFERROR(INDEX(Insumos_CustoUnit,MATCH($C287,Insumos_Ingrediente,0)),0)</f>
        <v>0</v>
      </c>
      <c r="G287" s="19" t="n">
        <f aca="false">$D287*$F287</f>
        <v>0</v>
      </c>
      <c r="H287" s="38" t="n">
        <f aca="false">IF(OR($E287="g",$E287="ml"),$D287,0)</f>
        <v>0</v>
      </c>
      <c r="I287" s="38" t="n">
        <f aca="false">IF($C287="Açaí",1,0)</f>
        <v>0</v>
      </c>
      <c r="J287" s="38" t="n">
        <f aca="false">IF($C287="Banana",1,0)</f>
        <v>0</v>
      </c>
      <c r="K287" s="38" t="n">
        <f aca="false">IF($C287="Whey Protein",1,0)</f>
        <v>0</v>
      </c>
      <c r="L287" s="38" t="n">
        <f aca="false">IF(ISNUMBER(SEARCH("Copo",$C287)),1,0)</f>
        <v>0</v>
      </c>
    </row>
    <row r="288" customFormat="false" ht="15" hidden="false" customHeight="true" outlineLevel="0" collapsed="false">
      <c r="A288" s="29" t="s">
        <v>207</v>
      </c>
      <c r="B288" s="35" t="str">
        <f aca="false">IF($C288="","",IFERROR(INDEX(Insumos_Categoria,MATCH($C288,Insumos_Ingrediente,0)),""))</f>
        <v>Bases (Produção Própria)</v>
      </c>
      <c r="C288" s="29" t="s">
        <v>88</v>
      </c>
      <c r="D288" s="36" t="n">
        <v>270</v>
      </c>
      <c r="E288" s="35" t="str">
        <f aca="false">IF($C288="","",IFERROR(INDEX(Insumos_Unidade,MATCH($C288,Insumos_Ingrediente,0)),""))</f>
        <v>ml</v>
      </c>
      <c r="F288" s="19" t="n">
        <f aca="false">IFERROR(INDEX(Insumos_CustoUnit,MATCH($C288,Insumos_Ingrediente,0)),0)</f>
        <v>0.0165</v>
      </c>
      <c r="G288" s="19" t="n">
        <f aca="false">$D288*$F288</f>
        <v>4.455</v>
      </c>
      <c r="H288" s="37" t="n">
        <f aca="false">IF(OR($E288="g",$E288="ml"),$D288,0)</f>
        <v>270</v>
      </c>
      <c r="I288" s="38" t="n">
        <f aca="false">IF($C288="Açaí",1,0)</f>
        <v>1</v>
      </c>
      <c r="J288" s="38" t="n">
        <f aca="false">IF($C288="Banana",1,0)</f>
        <v>0</v>
      </c>
      <c r="K288" s="38" t="n">
        <f aca="false">IF($C288="Whey Protein",1,0)</f>
        <v>0</v>
      </c>
      <c r="L288" s="38" t="n">
        <f aca="false">IF(ISNUMBER(SEARCH("Copo",$C288)),1,0)</f>
        <v>0</v>
      </c>
    </row>
    <row r="289" customFormat="false" ht="15" hidden="false" customHeight="true" outlineLevel="0" collapsed="false">
      <c r="A289" s="29" t="s">
        <v>207</v>
      </c>
      <c r="B289" s="35" t="str">
        <f aca="false">IF($C289="","",IFERROR(INDEX(Insumos_Categoria,MATCH($C289,Insumos_Ingrediente,0)),""))</f>
        <v>Embalagens</v>
      </c>
      <c r="C289" s="29" t="s">
        <v>123</v>
      </c>
      <c r="D289" s="36" t="n">
        <v>1</v>
      </c>
      <c r="E289" s="35" t="str">
        <f aca="false">IF($C289="","",IFERROR(INDEX(Insumos_Unidade,MATCH($C289,Insumos_Ingrediente,0)),""))</f>
        <v>un</v>
      </c>
      <c r="F289" s="19" t="n">
        <f aca="false">IFERROR(INDEX(Insumos_CustoUnit,MATCH($C289,Insumos_Ingrediente,0)),0)</f>
        <v>0.15372</v>
      </c>
      <c r="G289" s="19" t="n">
        <f aca="false">$D289*$F289</f>
        <v>0.15372</v>
      </c>
      <c r="H289" s="38" t="n">
        <f aca="false">IF(OR($E289="g",$E289="ml"),$D289,0)</f>
        <v>0</v>
      </c>
      <c r="I289" s="38" t="n">
        <f aca="false">IF($C289="Açaí",1,0)</f>
        <v>0</v>
      </c>
      <c r="J289" s="38" t="n">
        <f aca="false">IF($C289="Banana",1,0)</f>
        <v>0</v>
      </c>
      <c r="K289" s="38" t="n">
        <f aca="false">IF($C289="Whey Protein",1,0)</f>
        <v>0</v>
      </c>
      <c r="L289" s="38" t="n">
        <f aca="false">IF(ISNUMBER(SEARCH("Copo",$C289)),1,0)</f>
        <v>1</v>
      </c>
    </row>
    <row r="290" customFormat="false" ht="15" hidden="false" customHeight="true" outlineLevel="0" collapsed="false">
      <c r="A290" s="29" t="s">
        <v>207</v>
      </c>
      <c r="B290" s="35" t="str">
        <f aca="false">IF($C290="","",IFERROR(INDEX(Insumos_Categoria,MATCH($C290,Insumos_Ingrediente,0)),""))</f>
        <v>Embalagens</v>
      </c>
      <c r="C290" s="29" t="s">
        <v>126</v>
      </c>
      <c r="D290" s="36" t="n">
        <v>1</v>
      </c>
      <c r="E290" s="35" t="str">
        <f aca="false">IF($C290="","",IFERROR(INDEX(Insumos_Unidade,MATCH($C290,Insumos_Ingrediente,0)),""))</f>
        <v>un</v>
      </c>
      <c r="F290" s="19" t="n">
        <f aca="false">IFERROR(INDEX(Insumos_CustoUnit,MATCH($C290,Insumos_Ingrediente,0)),0)</f>
        <v>0.0823</v>
      </c>
      <c r="G290" s="19" t="n">
        <f aca="false">$D290*$F290</f>
        <v>0.0823</v>
      </c>
      <c r="H290" s="38" t="n">
        <f aca="false">IF(OR($E290="g",$E290="ml"),$D290,0)</f>
        <v>0</v>
      </c>
      <c r="I290" s="38" t="n">
        <f aca="false">IF($C290="Açaí",1,0)</f>
        <v>0</v>
      </c>
      <c r="J290" s="38" t="n">
        <f aca="false">IF($C290="Banana",1,0)</f>
        <v>0</v>
      </c>
      <c r="K290" s="38" t="n">
        <f aca="false">IF($C290="Whey Protein",1,0)</f>
        <v>0</v>
      </c>
      <c r="L290" s="38" t="n">
        <f aca="false">IF(ISNUMBER(SEARCH("Copo",$C290)),1,0)</f>
        <v>0</v>
      </c>
    </row>
    <row r="291" customFormat="false" ht="15" hidden="false" customHeight="true" outlineLevel="0" collapsed="false">
      <c r="A291" s="29" t="s">
        <v>207</v>
      </c>
      <c r="B291" s="35" t="str">
        <f aca="false">IF($C291="","",IFERROR(INDEX(Insumos_Categoria,MATCH($C291,Insumos_Ingrediente,0)),""))</f>
        <v>Consumíveis</v>
      </c>
      <c r="C291" s="29" t="s">
        <v>141</v>
      </c>
      <c r="D291" s="36" t="n">
        <v>1</v>
      </c>
      <c r="E291" s="35" t="str">
        <f aca="false">IF($C291="","",IFERROR(INDEX(Insumos_Unidade,MATCH($C291,Insumos_Ingrediente,0)),""))</f>
        <v>un</v>
      </c>
      <c r="F291" s="19" t="n">
        <f aca="false">IFERROR(INDEX(Insumos_CustoUnit,MATCH($C291,Insumos_Ingrediente,0)),0)</f>
        <v>0.0938</v>
      </c>
      <c r="G291" s="19" t="n">
        <f aca="false">$D291*$F291</f>
        <v>0.0938</v>
      </c>
      <c r="H291" s="38" t="n">
        <f aca="false">IF(OR($E291="g",$E291="ml"),$D291,0)</f>
        <v>0</v>
      </c>
      <c r="I291" s="38" t="n">
        <f aca="false">IF($C291="Açaí",1,0)</f>
        <v>0</v>
      </c>
      <c r="J291" s="38" t="n">
        <f aca="false">IF($C291="Banana",1,0)</f>
        <v>0</v>
      </c>
      <c r="K291" s="38" t="n">
        <f aca="false">IF($C291="Whey Protein",1,0)</f>
        <v>0</v>
      </c>
      <c r="L291" s="38" t="n">
        <f aca="false">IF(ISNUMBER(SEARCH("Copo",$C291)),1,0)</f>
        <v>0</v>
      </c>
    </row>
    <row r="292" customFormat="false" ht="15" hidden="false" customHeight="true" outlineLevel="0" collapsed="false">
      <c r="A292" s="29" t="s">
        <v>207</v>
      </c>
      <c r="B292" s="35" t="str">
        <f aca="false">IF($C292="","",IFERROR(INDEX(Insumos_Categoria,MATCH($C292,Insumos_Ingrediente,0)),""))</f>
        <v>Consumíveis</v>
      </c>
      <c r="C292" s="29" t="s">
        <v>143</v>
      </c>
      <c r="D292" s="36" t="n">
        <v>1</v>
      </c>
      <c r="E292" s="35" t="str">
        <f aca="false">IF($C292="","",IFERROR(INDEX(Insumos_Unidade,MATCH($C292,Insumos_Ingrediente,0)),""))</f>
        <v>un</v>
      </c>
      <c r="F292" s="19" t="n">
        <f aca="false">IFERROR(INDEX(Insumos_CustoUnit,MATCH($C292,Insumos_Ingrediente,0)),0)</f>
        <v>0</v>
      </c>
      <c r="G292" s="19" t="n">
        <f aca="false">$D292*$F292</f>
        <v>0</v>
      </c>
      <c r="H292" s="38" t="n">
        <f aca="false">IF(OR($E292="g",$E292="ml"),$D292,0)</f>
        <v>0</v>
      </c>
      <c r="I292" s="38" t="n">
        <f aca="false">IF($C292="Açaí",1,0)</f>
        <v>0</v>
      </c>
      <c r="J292" s="38" t="n">
        <f aca="false">IF($C292="Banana",1,0)</f>
        <v>0</v>
      </c>
      <c r="K292" s="38" t="n">
        <f aca="false">IF($C292="Whey Protein",1,0)</f>
        <v>0</v>
      </c>
      <c r="L292" s="38" t="n">
        <f aca="false">IF(ISNUMBER(SEARCH("Copo",$C292)),1,0)</f>
        <v>0</v>
      </c>
    </row>
    <row r="293" customFormat="false" ht="15" hidden="false" customHeight="true" outlineLevel="0" collapsed="false">
      <c r="A293" s="29" t="s">
        <v>208</v>
      </c>
      <c r="B293" s="35" t="str">
        <f aca="false">IF($C293="","",IFERROR(INDEX(Insumos_Categoria,MATCH($C293,Insumos_Ingrediente,0)),""))</f>
        <v>Bases (Produção Própria)</v>
      </c>
      <c r="C293" s="29" t="s">
        <v>93</v>
      </c>
      <c r="D293" s="36" t="n">
        <v>270</v>
      </c>
      <c r="E293" s="35" t="str">
        <f aca="false">IF($C293="","",IFERROR(INDEX(Insumos_Unidade,MATCH($C293,Insumos_Ingrediente,0)),""))</f>
        <v>ml</v>
      </c>
      <c r="F293" s="19" t="n">
        <f aca="false">IFERROR(INDEX(Insumos_CustoUnit,MATCH($C293,Insumos_Ingrediente,0)),0)</f>
        <v>0.0165</v>
      </c>
      <c r="G293" s="19" t="n">
        <f aca="false">$D293*$F293</f>
        <v>4.455</v>
      </c>
      <c r="H293" s="37" t="n">
        <f aca="false">IF(OR($E293="g",$E293="ml"),$D293,0)</f>
        <v>270</v>
      </c>
      <c r="I293" s="38" t="n">
        <f aca="false">IF($C293="Açaí",1,0)</f>
        <v>0</v>
      </c>
      <c r="J293" s="38" t="n">
        <f aca="false">IF($C293="Banana",1,0)</f>
        <v>0</v>
      </c>
      <c r="K293" s="38" t="n">
        <f aca="false">IF($C293="Whey Protein",1,0)</f>
        <v>0</v>
      </c>
      <c r="L293" s="38" t="n">
        <f aca="false">IF(ISNUMBER(SEARCH("Copo",$C293)),1,0)</f>
        <v>0</v>
      </c>
    </row>
    <row r="294" customFormat="false" ht="15" hidden="false" customHeight="true" outlineLevel="0" collapsed="false">
      <c r="A294" s="29" t="s">
        <v>208</v>
      </c>
      <c r="B294" s="35" t="str">
        <f aca="false">IF($C294="","",IFERROR(INDEX(Insumos_Categoria,MATCH($C294,Insumos_Ingrediente,0)),""))</f>
        <v>Embalagens</v>
      </c>
      <c r="C294" s="29" t="s">
        <v>123</v>
      </c>
      <c r="D294" s="36" t="n">
        <v>1</v>
      </c>
      <c r="E294" s="35" t="str">
        <f aca="false">IF($C294="","",IFERROR(INDEX(Insumos_Unidade,MATCH($C294,Insumos_Ingrediente,0)),""))</f>
        <v>un</v>
      </c>
      <c r="F294" s="19" t="n">
        <f aca="false">IFERROR(INDEX(Insumos_CustoUnit,MATCH($C294,Insumos_Ingrediente,0)),0)</f>
        <v>0.15372</v>
      </c>
      <c r="G294" s="19" t="n">
        <f aca="false">$D294*$F294</f>
        <v>0.15372</v>
      </c>
      <c r="H294" s="38" t="n">
        <f aca="false">IF(OR($E294="g",$E294="ml"),$D294,0)</f>
        <v>0</v>
      </c>
      <c r="I294" s="38" t="n">
        <f aca="false">IF($C294="Açaí",1,0)</f>
        <v>0</v>
      </c>
      <c r="J294" s="38" t="n">
        <f aca="false">IF($C294="Banana",1,0)</f>
        <v>0</v>
      </c>
      <c r="K294" s="38" t="n">
        <f aca="false">IF($C294="Whey Protein",1,0)</f>
        <v>0</v>
      </c>
      <c r="L294" s="38" t="n">
        <f aca="false">IF(ISNUMBER(SEARCH("Copo",$C294)),1,0)</f>
        <v>1</v>
      </c>
    </row>
    <row r="295" customFormat="false" ht="15" hidden="false" customHeight="true" outlineLevel="0" collapsed="false">
      <c r="A295" s="29" t="s">
        <v>208</v>
      </c>
      <c r="B295" s="35" t="str">
        <f aca="false">IF($C295="","",IFERROR(INDEX(Insumos_Categoria,MATCH($C295,Insumos_Ingrediente,0)),""))</f>
        <v>Embalagens</v>
      </c>
      <c r="C295" s="29" t="s">
        <v>126</v>
      </c>
      <c r="D295" s="36" t="n">
        <v>1</v>
      </c>
      <c r="E295" s="35" t="str">
        <f aca="false">IF($C295="","",IFERROR(INDEX(Insumos_Unidade,MATCH($C295,Insumos_Ingrediente,0)),""))</f>
        <v>un</v>
      </c>
      <c r="F295" s="19" t="n">
        <f aca="false">IFERROR(INDEX(Insumos_CustoUnit,MATCH($C295,Insumos_Ingrediente,0)),0)</f>
        <v>0.0823</v>
      </c>
      <c r="G295" s="19" t="n">
        <f aca="false">$D295*$F295</f>
        <v>0.0823</v>
      </c>
      <c r="H295" s="38" t="n">
        <f aca="false">IF(OR($E295="g",$E295="ml"),$D295,0)</f>
        <v>0</v>
      </c>
      <c r="I295" s="38" t="n">
        <f aca="false">IF($C295="Açaí",1,0)</f>
        <v>0</v>
      </c>
      <c r="J295" s="38" t="n">
        <f aca="false">IF($C295="Banana",1,0)</f>
        <v>0</v>
      </c>
      <c r="K295" s="38" t="n">
        <f aca="false">IF($C295="Whey Protein",1,0)</f>
        <v>0</v>
      </c>
      <c r="L295" s="38" t="n">
        <f aca="false">IF(ISNUMBER(SEARCH("Copo",$C295)),1,0)</f>
        <v>0</v>
      </c>
    </row>
    <row r="296" customFormat="false" ht="15" hidden="false" customHeight="true" outlineLevel="0" collapsed="false">
      <c r="A296" s="29" t="s">
        <v>208</v>
      </c>
      <c r="B296" s="35" t="str">
        <f aca="false">IF($C296="","",IFERROR(INDEX(Insumos_Categoria,MATCH($C296,Insumos_Ingrediente,0)),""))</f>
        <v>Consumíveis</v>
      </c>
      <c r="C296" s="29" t="s">
        <v>141</v>
      </c>
      <c r="D296" s="36" t="n">
        <v>1</v>
      </c>
      <c r="E296" s="35" t="str">
        <f aca="false">IF($C296="","",IFERROR(INDEX(Insumos_Unidade,MATCH($C296,Insumos_Ingrediente,0)),""))</f>
        <v>un</v>
      </c>
      <c r="F296" s="19" t="n">
        <f aca="false">IFERROR(INDEX(Insumos_CustoUnit,MATCH($C296,Insumos_Ingrediente,0)),0)</f>
        <v>0.0938</v>
      </c>
      <c r="G296" s="19" t="n">
        <f aca="false">$D296*$F296</f>
        <v>0.0938</v>
      </c>
      <c r="H296" s="38" t="n">
        <f aca="false">IF(OR($E296="g",$E296="ml"),$D296,0)</f>
        <v>0</v>
      </c>
      <c r="I296" s="38" t="n">
        <f aca="false">IF($C296="Açaí",1,0)</f>
        <v>0</v>
      </c>
      <c r="J296" s="38" t="n">
        <f aca="false">IF($C296="Banana",1,0)</f>
        <v>0</v>
      </c>
      <c r="K296" s="38" t="n">
        <f aca="false">IF($C296="Whey Protein",1,0)</f>
        <v>0</v>
      </c>
      <c r="L296" s="38" t="n">
        <f aca="false">IF(ISNUMBER(SEARCH("Copo",$C296)),1,0)</f>
        <v>0</v>
      </c>
    </row>
    <row r="297" customFormat="false" ht="15" hidden="false" customHeight="true" outlineLevel="0" collapsed="false">
      <c r="A297" s="29" t="s">
        <v>208</v>
      </c>
      <c r="B297" s="35" t="str">
        <f aca="false">IF($C297="","",IFERROR(INDEX(Insumos_Categoria,MATCH($C297,Insumos_Ingrediente,0)),""))</f>
        <v>Consumíveis</v>
      </c>
      <c r="C297" s="29" t="s">
        <v>143</v>
      </c>
      <c r="D297" s="36" t="n">
        <v>1</v>
      </c>
      <c r="E297" s="35" t="str">
        <f aca="false">IF($C297="","",IFERROR(INDEX(Insumos_Unidade,MATCH($C297,Insumos_Ingrediente,0)),""))</f>
        <v>un</v>
      </c>
      <c r="F297" s="19" t="n">
        <f aca="false">IFERROR(INDEX(Insumos_CustoUnit,MATCH($C297,Insumos_Ingrediente,0)),0)</f>
        <v>0</v>
      </c>
      <c r="G297" s="19" t="n">
        <f aca="false">$D297*$F297</f>
        <v>0</v>
      </c>
      <c r="H297" s="38" t="n">
        <f aca="false">IF(OR($E297="g",$E297="ml"),$D297,0)</f>
        <v>0</v>
      </c>
      <c r="I297" s="38" t="n">
        <f aca="false">IF($C297="Açaí",1,0)</f>
        <v>0</v>
      </c>
      <c r="J297" s="38" t="n">
        <f aca="false">IF($C297="Banana",1,0)</f>
        <v>0</v>
      </c>
      <c r="K297" s="38" t="n">
        <f aca="false">IF($C297="Whey Protein",1,0)</f>
        <v>0</v>
      </c>
      <c r="L297" s="38" t="n">
        <f aca="false">IF(ISNUMBER(SEARCH("Copo",$C297)),1,0)</f>
        <v>0</v>
      </c>
    </row>
    <row r="298" customFormat="false" ht="15" hidden="false" customHeight="true" outlineLevel="0" collapsed="false">
      <c r="A298" s="29" t="s">
        <v>209</v>
      </c>
      <c r="B298" s="35" t="str">
        <f aca="false">IF($C298="","",IFERROR(INDEX(Insumos_Categoria,MATCH($C298,Insumos_Ingrediente,0)),""))</f>
        <v>Bases (Produção Própria)</v>
      </c>
      <c r="C298" s="29" t="s">
        <v>88</v>
      </c>
      <c r="D298" s="36" t="n">
        <v>470</v>
      </c>
      <c r="E298" s="35" t="str">
        <f aca="false">IF($C298="","",IFERROR(INDEX(Insumos_Unidade,MATCH($C298,Insumos_Ingrediente,0)),""))</f>
        <v>ml</v>
      </c>
      <c r="F298" s="19" t="n">
        <f aca="false">IFERROR(INDEX(Insumos_CustoUnit,MATCH($C298,Insumos_Ingrediente,0)),0)</f>
        <v>0.0165</v>
      </c>
      <c r="G298" s="19" t="n">
        <f aca="false">$D298*$F298</f>
        <v>7.755</v>
      </c>
      <c r="H298" s="37" t="n">
        <f aca="false">IF(OR($E298="g",$E298="ml"),$D298,0)</f>
        <v>470</v>
      </c>
      <c r="I298" s="38" t="n">
        <f aca="false">IF($C298="Açaí",1,0)</f>
        <v>1</v>
      </c>
      <c r="J298" s="38" t="n">
        <f aca="false">IF($C298="Banana",1,0)</f>
        <v>0</v>
      </c>
      <c r="K298" s="38" t="n">
        <f aca="false">IF($C298="Whey Protein",1,0)</f>
        <v>0</v>
      </c>
      <c r="L298" s="38" t="n">
        <f aca="false">IF(ISNUMBER(SEARCH("Copo",$C298)),1,0)</f>
        <v>0</v>
      </c>
    </row>
    <row r="299" customFormat="false" ht="15" hidden="false" customHeight="true" outlineLevel="0" collapsed="false">
      <c r="A299" s="29" t="s">
        <v>209</v>
      </c>
      <c r="B299" s="35" t="str">
        <f aca="false">IF($C299="","",IFERROR(INDEX(Insumos_Categoria,MATCH($C299,Insumos_Ingrediente,0)),""))</f>
        <v>Embalagens</v>
      </c>
      <c r="C299" s="29" t="s">
        <v>124</v>
      </c>
      <c r="D299" s="36" t="n">
        <v>1</v>
      </c>
      <c r="E299" s="35" t="str">
        <f aca="false">IF($C299="","",IFERROR(INDEX(Insumos_Unidade,MATCH($C299,Insumos_Ingrediente,0)),""))</f>
        <v>un</v>
      </c>
      <c r="F299" s="19" t="n">
        <f aca="false">IFERROR(INDEX(Insumos_CustoUnit,MATCH($C299,Insumos_Ingrediente,0)),0)</f>
        <v>0.24365</v>
      </c>
      <c r="G299" s="19" t="n">
        <f aca="false">$D299*$F299</f>
        <v>0.24365</v>
      </c>
      <c r="H299" s="38" t="n">
        <f aca="false">IF(OR($E299="g",$E299="ml"),$D299,0)</f>
        <v>0</v>
      </c>
      <c r="I299" s="38" t="n">
        <f aca="false">IF($C299="Açaí",1,0)</f>
        <v>0</v>
      </c>
      <c r="J299" s="38" t="n">
        <f aca="false">IF($C299="Banana",1,0)</f>
        <v>0</v>
      </c>
      <c r="K299" s="38" t="n">
        <f aca="false">IF($C299="Whey Protein",1,0)</f>
        <v>0</v>
      </c>
      <c r="L299" s="38" t="n">
        <f aca="false">IF(ISNUMBER(SEARCH("Copo",$C299)),1,0)</f>
        <v>1</v>
      </c>
    </row>
    <row r="300" customFormat="false" ht="15" hidden="false" customHeight="true" outlineLevel="0" collapsed="false">
      <c r="A300" s="29" t="s">
        <v>209</v>
      </c>
      <c r="B300" s="35" t="str">
        <f aca="false">IF($C300="","",IFERROR(INDEX(Insumos_Categoria,MATCH($C300,Insumos_Ingrediente,0)),""))</f>
        <v>Embalagens</v>
      </c>
      <c r="C300" s="29" t="s">
        <v>127</v>
      </c>
      <c r="D300" s="36" t="n">
        <v>1</v>
      </c>
      <c r="E300" s="35" t="str">
        <f aca="false">IF($C300="","",IFERROR(INDEX(Insumos_Unidade,MATCH($C300,Insumos_Ingrediente,0)),""))</f>
        <v>un</v>
      </c>
      <c r="F300" s="19" t="n">
        <f aca="false">IFERROR(INDEX(Insumos_CustoUnit,MATCH($C300,Insumos_Ingrediente,0)),0)</f>
        <v>0.0923</v>
      </c>
      <c r="G300" s="19" t="n">
        <f aca="false">$D300*$F300</f>
        <v>0.0923</v>
      </c>
      <c r="H300" s="38" t="n">
        <f aca="false">IF(OR($E300="g",$E300="ml"),$D300,0)</f>
        <v>0</v>
      </c>
      <c r="I300" s="38" t="n">
        <f aca="false">IF($C300="Açaí",1,0)</f>
        <v>0</v>
      </c>
      <c r="J300" s="38" t="n">
        <f aca="false">IF($C300="Banana",1,0)</f>
        <v>0</v>
      </c>
      <c r="K300" s="38" t="n">
        <f aca="false">IF($C300="Whey Protein",1,0)</f>
        <v>0</v>
      </c>
      <c r="L300" s="38" t="n">
        <f aca="false">IF(ISNUMBER(SEARCH("Copo",$C300)),1,0)</f>
        <v>0</v>
      </c>
    </row>
    <row r="301" customFormat="false" ht="15" hidden="false" customHeight="true" outlineLevel="0" collapsed="false">
      <c r="A301" s="29" t="s">
        <v>209</v>
      </c>
      <c r="B301" s="35" t="str">
        <f aca="false">IF($C301="","",IFERROR(INDEX(Insumos_Categoria,MATCH($C301,Insumos_Ingrediente,0)),""))</f>
        <v>Consumíveis</v>
      </c>
      <c r="C301" s="29" t="s">
        <v>141</v>
      </c>
      <c r="D301" s="36" t="n">
        <v>1</v>
      </c>
      <c r="E301" s="35" t="str">
        <f aca="false">IF($C301="","",IFERROR(INDEX(Insumos_Unidade,MATCH($C301,Insumos_Ingrediente,0)),""))</f>
        <v>un</v>
      </c>
      <c r="F301" s="19" t="n">
        <f aca="false">IFERROR(INDEX(Insumos_CustoUnit,MATCH($C301,Insumos_Ingrediente,0)),0)</f>
        <v>0.0938</v>
      </c>
      <c r="G301" s="19" t="n">
        <f aca="false">$D301*$F301</f>
        <v>0.0938</v>
      </c>
      <c r="H301" s="38" t="n">
        <f aca="false">IF(OR($E301="g",$E301="ml"),$D301,0)</f>
        <v>0</v>
      </c>
      <c r="I301" s="38" t="n">
        <f aca="false">IF($C301="Açaí",1,0)</f>
        <v>0</v>
      </c>
      <c r="J301" s="38" t="n">
        <f aca="false">IF($C301="Banana",1,0)</f>
        <v>0</v>
      </c>
      <c r="K301" s="38" t="n">
        <f aca="false">IF($C301="Whey Protein",1,0)</f>
        <v>0</v>
      </c>
      <c r="L301" s="38" t="n">
        <f aca="false">IF(ISNUMBER(SEARCH("Copo",$C301)),1,0)</f>
        <v>0</v>
      </c>
    </row>
    <row r="302" customFormat="false" ht="15" hidden="false" customHeight="true" outlineLevel="0" collapsed="false">
      <c r="A302" s="29" t="s">
        <v>209</v>
      </c>
      <c r="B302" s="35" t="str">
        <f aca="false">IF($C302="","",IFERROR(INDEX(Insumos_Categoria,MATCH($C302,Insumos_Ingrediente,0)),""))</f>
        <v>Consumíveis</v>
      </c>
      <c r="C302" s="29" t="s">
        <v>143</v>
      </c>
      <c r="D302" s="36" t="n">
        <v>1</v>
      </c>
      <c r="E302" s="35" t="str">
        <f aca="false">IF($C302="","",IFERROR(INDEX(Insumos_Unidade,MATCH($C302,Insumos_Ingrediente,0)),""))</f>
        <v>un</v>
      </c>
      <c r="F302" s="19" t="n">
        <f aca="false">IFERROR(INDEX(Insumos_CustoUnit,MATCH($C302,Insumos_Ingrediente,0)),0)</f>
        <v>0</v>
      </c>
      <c r="G302" s="19" t="n">
        <f aca="false">$D302*$F302</f>
        <v>0</v>
      </c>
      <c r="H302" s="38" t="n">
        <f aca="false">IF(OR($E302="g",$E302="ml"),$D302,0)</f>
        <v>0</v>
      </c>
      <c r="I302" s="38" t="n">
        <f aca="false">IF($C302="Açaí",1,0)</f>
        <v>0</v>
      </c>
      <c r="J302" s="38" t="n">
        <f aca="false">IF($C302="Banana",1,0)</f>
        <v>0</v>
      </c>
      <c r="K302" s="38" t="n">
        <f aca="false">IF($C302="Whey Protein",1,0)</f>
        <v>0</v>
      </c>
      <c r="L302" s="38" t="n">
        <f aca="false">IF(ISNUMBER(SEARCH("Copo",$C302)),1,0)</f>
        <v>0</v>
      </c>
    </row>
    <row r="303" customFormat="false" ht="15" hidden="false" customHeight="true" outlineLevel="0" collapsed="false">
      <c r="A303" s="29" t="s">
        <v>210</v>
      </c>
      <c r="B303" s="35" t="str">
        <f aca="false">IF($C303="","",IFERROR(INDEX(Insumos_Categoria,MATCH($C303,Insumos_Ingrediente,0)),""))</f>
        <v>Bases (Produção Própria)</v>
      </c>
      <c r="C303" s="29" t="s">
        <v>93</v>
      </c>
      <c r="D303" s="36" t="n">
        <v>470</v>
      </c>
      <c r="E303" s="35" t="str">
        <f aca="false">IF($C303="","",IFERROR(INDEX(Insumos_Unidade,MATCH($C303,Insumos_Ingrediente,0)),""))</f>
        <v>ml</v>
      </c>
      <c r="F303" s="19" t="n">
        <f aca="false">IFERROR(INDEX(Insumos_CustoUnit,MATCH($C303,Insumos_Ingrediente,0)),0)</f>
        <v>0.0165</v>
      </c>
      <c r="G303" s="19" t="n">
        <f aca="false">$D303*$F303</f>
        <v>7.755</v>
      </c>
      <c r="H303" s="37" t="n">
        <f aca="false">IF(OR($E303="g",$E303="ml"),$D303,0)</f>
        <v>470</v>
      </c>
      <c r="I303" s="38" t="n">
        <f aca="false">IF($C303="Açaí",1,0)</f>
        <v>0</v>
      </c>
      <c r="J303" s="38" t="n">
        <f aca="false">IF($C303="Banana",1,0)</f>
        <v>0</v>
      </c>
      <c r="K303" s="38" t="n">
        <f aca="false">IF($C303="Whey Protein",1,0)</f>
        <v>0</v>
      </c>
      <c r="L303" s="38" t="n">
        <f aca="false">IF(ISNUMBER(SEARCH("Copo",$C303)),1,0)</f>
        <v>0</v>
      </c>
    </row>
    <row r="304" customFormat="false" ht="15" hidden="false" customHeight="true" outlineLevel="0" collapsed="false">
      <c r="A304" s="29" t="s">
        <v>210</v>
      </c>
      <c r="B304" s="35" t="str">
        <f aca="false">IF($C304="","",IFERROR(INDEX(Insumos_Categoria,MATCH($C304,Insumos_Ingrediente,0)),""))</f>
        <v>Embalagens</v>
      </c>
      <c r="C304" s="29" t="s">
        <v>124</v>
      </c>
      <c r="D304" s="36" t="n">
        <v>1</v>
      </c>
      <c r="E304" s="35" t="str">
        <f aca="false">IF($C304="","",IFERROR(INDEX(Insumos_Unidade,MATCH($C304,Insumos_Ingrediente,0)),""))</f>
        <v>un</v>
      </c>
      <c r="F304" s="19" t="n">
        <f aca="false">IFERROR(INDEX(Insumos_CustoUnit,MATCH($C304,Insumos_Ingrediente,0)),0)</f>
        <v>0.24365</v>
      </c>
      <c r="G304" s="19" t="n">
        <f aca="false">$D304*$F304</f>
        <v>0.24365</v>
      </c>
      <c r="H304" s="38" t="n">
        <f aca="false">IF(OR($E304="g",$E304="ml"),$D304,0)</f>
        <v>0</v>
      </c>
      <c r="I304" s="38" t="n">
        <f aca="false">IF($C304="Açaí",1,0)</f>
        <v>0</v>
      </c>
      <c r="J304" s="38" t="n">
        <f aca="false">IF($C304="Banana",1,0)</f>
        <v>0</v>
      </c>
      <c r="K304" s="38" t="n">
        <f aca="false">IF($C304="Whey Protein",1,0)</f>
        <v>0</v>
      </c>
      <c r="L304" s="38" t="n">
        <f aca="false">IF(ISNUMBER(SEARCH("Copo",$C304)),1,0)</f>
        <v>1</v>
      </c>
    </row>
    <row r="305" customFormat="false" ht="15" hidden="false" customHeight="true" outlineLevel="0" collapsed="false">
      <c r="A305" s="29" t="s">
        <v>210</v>
      </c>
      <c r="B305" s="35" t="str">
        <f aca="false">IF($C305="","",IFERROR(INDEX(Insumos_Categoria,MATCH($C305,Insumos_Ingrediente,0)),""))</f>
        <v>Embalagens</v>
      </c>
      <c r="C305" s="29" t="s">
        <v>127</v>
      </c>
      <c r="D305" s="36" t="n">
        <v>1</v>
      </c>
      <c r="E305" s="35" t="str">
        <f aca="false">IF($C305="","",IFERROR(INDEX(Insumos_Unidade,MATCH($C305,Insumos_Ingrediente,0)),""))</f>
        <v>un</v>
      </c>
      <c r="F305" s="19" t="n">
        <f aca="false">IFERROR(INDEX(Insumos_CustoUnit,MATCH($C305,Insumos_Ingrediente,0)),0)</f>
        <v>0.0923</v>
      </c>
      <c r="G305" s="19" t="n">
        <f aca="false">$D305*$F305</f>
        <v>0.0923</v>
      </c>
      <c r="H305" s="38" t="n">
        <f aca="false">IF(OR($E305="g",$E305="ml"),$D305,0)</f>
        <v>0</v>
      </c>
      <c r="I305" s="38" t="n">
        <f aca="false">IF($C305="Açaí",1,0)</f>
        <v>0</v>
      </c>
      <c r="J305" s="38" t="n">
        <f aca="false">IF($C305="Banana",1,0)</f>
        <v>0</v>
      </c>
      <c r="K305" s="38" t="n">
        <f aca="false">IF($C305="Whey Protein",1,0)</f>
        <v>0</v>
      </c>
      <c r="L305" s="38" t="n">
        <f aca="false">IF(ISNUMBER(SEARCH("Copo",$C305)),1,0)</f>
        <v>0</v>
      </c>
    </row>
    <row r="306" customFormat="false" ht="15" hidden="false" customHeight="true" outlineLevel="0" collapsed="false">
      <c r="A306" s="29" t="s">
        <v>210</v>
      </c>
      <c r="B306" s="35" t="str">
        <f aca="false">IF($C306="","",IFERROR(INDEX(Insumos_Categoria,MATCH($C306,Insumos_Ingrediente,0)),""))</f>
        <v>Consumíveis</v>
      </c>
      <c r="C306" s="29" t="s">
        <v>141</v>
      </c>
      <c r="D306" s="36" t="n">
        <v>1</v>
      </c>
      <c r="E306" s="35" t="str">
        <f aca="false">IF($C306="","",IFERROR(INDEX(Insumos_Unidade,MATCH($C306,Insumos_Ingrediente,0)),""))</f>
        <v>un</v>
      </c>
      <c r="F306" s="19" t="n">
        <f aca="false">IFERROR(INDEX(Insumos_CustoUnit,MATCH($C306,Insumos_Ingrediente,0)),0)</f>
        <v>0.0938</v>
      </c>
      <c r="G306" s="19" t="n">
        <f aca="false">$D306*$F306</f>
        <v>0.0938</v>
      </c>
      <c r="H306" s="38" t="n">
        <f aca="false">IF(OR($E306="g",$E306="ml"),$D306,0)</f>
        <v>0</v>
      </c>
      <c r="I306" s="38" t="n">
        <f aca="false">IF($C306="Açaí",1,0)</f>
        <v>0</v>
      </c>
      <c r="J306" s="38" t="n">
        <f aca="false">IF($C306="Banana",1,0)</f>
        <v>0</v>
      </c>
      <c r="K306" s="38" t="n">
        <f aca="false">IF($C306="Whey Protein",1,0)</f>
        <v>0</v>
      </c>
      <c r="L306" s="38" t="n">
        <f aca="false">IF(ISNUMBER(SEARCH("Copo",$C306)),1,0)</f>
        <v>0</v>
      </c>
    </row>
    <row r="307" customFormat="false" ht="15" hidden="false" customHeight="true" outlineLevel="0" collapsed="false">
      <c r="A307" s="29" t="s">
        <v>210</v>
      </c>
      <c r="B307" s="35" t="str">
        <f aca="false">IF($C307="","",IFERROR(INDEX(Insumos_Categoria,MATCH($C307,Insumos_Ingrediente,0)),""))</f>
        <v>Consumíveis</v>
      </c>
      <c r="C307" s="29" t="s">
        <v>143</v>
      </c>
      <c r="D307" s="36" t="n">
        <v>1</v>
      </c>
      <c r="E307" s="35" t="str">
        <f aca="false">IF($C307="","",IFERROR(INDEX(Insumos_Unidade,MATCH($C307,Insumos_Ingrediente,0)),""))</f>
        <v>un</v>
      </c>
      <c r="F307" s="19" t="n">
        <f aca="false">IFERROR(INDEX(Insumos_CustoUnit,MATCH($C307,Insumos_Ingrediente,0)),0)</f>
        <v>0</v>
      </c>
      <c r="G307" s="19" t="n">
        <f aca="false">$D307*$F307</f>
        <v>0</v>
      </c>
      <c r="H307" s="38" t="n">
        <f aca="false">IF(OR($E307="g",$E307="ml"),$D307,0)</f>
        <v>0</v>
      </c>
      <c r="I307" s="38" t="n">
        <f aca="false">IF($C307="Açaí",1,0)</f>
        <v>0</v>
      </c>
      <c r="J307" s="38" t="n">
        <f aca="false">IF($C307="Banana",1,0)</f>
        <v>0</v>
      </c>
      <c r="K307" s="38" t="n">
        <f aca="false">IF($C307="Whey Protein",1,0)</f>
        <v>0</v>
      </c>
      <c r="L307" s="38" t="n">
        <f aca="false">IF(ISNUMBER(SEARCH("Copo",$C307)),1,0)</f>
        <v>0</v>
      </c>
    </row>
    <row r="308" customFormat="false" ht="15" hidden="false" customHeight="true" outlineLevel="0" collapsed="false">
      <c r="A308" s="29" t="s">
        <v>211</v>
      </c>
      <c r="B308" s="35" t="str">
        <f aca="false">IF($C308="","",IFERROR(INDEX(Insumos_Categoria,MATCH($C308,Insumos_Ingrediente,0)),""))</f>
        <v>Bases (Produção Própria)</v>
      </c>
      <c r="C308" s="29" t="s">
        <v>88</v>
      </c>
      <c r="D308" s="36" t="n">
        <v>150</v>
      </c>
      <c r="E308" s="35" t="str">
        <f aca="false">IF($C308="","",IFERROR(INDEX(Insumos_Unidade,MATCH($C308,Insumos_Ingrediente,0)),""))</f>
        <v>ml</v>
      </c>
      <c r="F308" s="19" t="n">
        <f aca="false">IFERROR(INDEX(Insumos_CustoUnit,MATCH($C308,Insumos_Ingrediente,0)),0)</f>
        <v>0.0165</v>
      </c>
      <c r="G308" s="19" t="n">
        <f aca="false">$D308*$F308</f>
        <v>2.475</v>
      </c>
      <c r="H308" s="37" t="n">
        <f aca="false">IF(OR($E308="g",$E308="ml"),$D308,0)</f>
        <v>150</v>
      </c>
      <c r="I308" s="38" t="n">
        <f aca="false">IF($C308="Açaí",1,0)</f>
        <v>1</v>
      </c>
      <c r="J308" s="38" t="n">
        <f aca="false">IF($C308="Banana",1,0)</f>
        <v>0</v>
      </c>
      <c r="K308" s="38" t="n">
        <f aca="false">IF($C308="Whey Protein",1,0)</f>
        <v>0</v>
      </c>
      <c r="L308" s="38" t="n">
        <f aca="false">IF(ISNUMBER(SEARCH("Copo",$C308)),1,0)</f>
        <v>0</v>
      </c>
    </row>
    <row r="309" customFormat="false" ht="15" hidden="false" customHeight="true" outlineLevel="0" collapsed="false">
      <c r="A309" s="29" t="s">
        <v>211</v>
      </c>
      <c r="B309" s="35" t="str">
        <f aca="false">IF($C309="","",IFERROR(INDEX(Insumos_Categoria,MATCH($C309,Insumos_Ingrediente,0)),""))</f>
        <v>Bases (Produção Própria)</v>
      </c>
      <c r="C309" s="29" t="s">
        <v>94</v>
      </c>
      <c r="D309" s="36" t="n">
        <v>300</v>
      </c>
      <c r="E309" s="35" t="str">
        <f aca="false">IF($C309="","",IFERROR(INDEX(Insumos_Unidade,MATCH($C309,Insumos_Ingrediente,0)),""))</f>
        <v>ml</v>
      </c>
      <c r="F309" s="19" t="n">
        <f aca="false">IFERROR(INDEX(Insumos_CustoUnit,MATCH($C309,Insumos_Ingrediente,0)),0)</f>
        <v>0</v>
      </c>
      <c r="G309" s="19" t="n">
        <f aca="false">$D309*$F309</f>
        <v>0</v>
      </c>
      <c r="H309" s="37" t="n">
        <f aca="false">IF(OR($E309="g",$E309="ml"),$D309,0)</f>
        <v>300</v>
      </c>
      <c r="I309" s="38" t="n">
        <f aca="false">IF($C309="Açaí",1,0)</f>
        <v>0</v>
      </c>
      <c r="J309" s="38" t="n">
        <f aca="false">IF($C309="Banana",1,0)</f>
        <v>0</v>
      </c>
      <c r="K309" s="38" t="n">
        <f aca="false">IF($C309="Whey Protein",1,0)</f>
        <v>0</v>
      </c>
      <c r="L309" s="38" t="n">
        <f aca="false">IF(ISNUMBER(SEARCH("Copo",$C309)),1,0)</f>
        <v>0</v>
      </c>
    </row>
    <row r="310" customFormat="false" ht="15" hidden="false" customHeight="true" outlineLevel="0" collapsed="false">
      <c r="A310" s="29" t="s">
        <v>211</v>
      </c>
      <c r="B310" s="35" t="str">
        <f aca="false">IF($C310="","",IFERROR(INDEX(Insumos_Categoria,MATCH($C310,Insumos_Ingrediente,0)),""))</f>
        <v>Coberturas (30g)</v>
      </c>
      <c r="C310" s="29" t="s">
        <v>103</v>
      </c>
      <c r="D310" s="36" t="n">
        <v>30</v>
      </c>
      <c r="E310" s="35" t="str">
        <f aca="false">IF($C310="","",IFERROR(INDEX(Insumos_Unidade,MATCH($C310,Insumos_Ingrediente,0)),""))</f>
        <v>g</v>
      </c>
      <c r="F310" s="19" t="n">
        <f aca="false">IFERROR(INDEX(Insumos_CustoUnit,MATCH($C310,Insumos_Ingrediente,0)),0)</f>
        <v>0.01213</v>
      </c>
      <c r="G310" s="19" t="n">
        <f aca="false">$D310*$F310</f>
        <v>0.3639</v>
      </c>
      <c r="H310" s="37" t="n">
        <f aca="false">IF(OR($E310="g",$E310="ml"),$D310,0)</f>
        <v>30</v>
      </c>
      <c r="I310" s="38" t="n">
        <f aca="false">IF($C310="Açaí",1,0)</f>
        <v>0</v>
      </c>
      <c r="J310" s="38" t="n">
        <f aca="false">IF($C310="Banana",1,0)</f>
        <v>0</v>
      </c>
      <c r="K310" s="38" t="n">
        <f aca="false">IF($C310="Whey Protein",1,0)</f>
        <v>0</v>
      </c>
      <c r="L310" s="38" t="n">
        <f aca="false">IF(ISNUMBER(SEARCH("Copo",$C310)),1,0)</f>
        <v>0</v>
      </c>
    </row>
    <row r="311" customFormat="false" ht="15" hidden="false" customHeight="true" outlineLevel="0" collapsed="false">
      <c r="A311" s="29" t="s">
        <v>211</v>
      </c>
      <c r="B311" s="35" t="str">
        <f aca="false">IF($C311="","",IFERROR(INDEX(Insumos_Categoria,MATCH($C311,Insumos_Ingrediente,0)),""))</f>
        <v>Coberturas (30g)</v>
      </c>
      <c r="C311" s="29" t="s">
        <v>109</v>
      </c>
      <c r="D311" s="36" t="n">
        <v>30</v>
      </c>
      <c r="E311" s="35" t="str">
        <f aca="false">IF($C311="","",IFERROR(INDEX(Insumos_Unidade,MATCH($C311,Insumos_Ingrediente,0)),""))</f>
        <v>ml</v>
      </c>
      <c r="F311" s="19" t="n">
        <f aca="false">IFERROR(INDEX(Insumos_CustoUnit,MATCH($C311,Insumos_Ingrediente,0)),0)</f>
        <v>0</v>
      </c>
      <c r="G311" s="19" t="n">
        <f aca="false">$D311*$F311</f>
        <v>0</v>
      </c>
      <c r="H311" s="37" t="n">
        <f aca="false">IF(OR($E311="g",$E311="ml"),$D311,0)</f>
        <v>30</v>
      </c>
      <c r="I311" s="38" t="n">
        <f aca="false">IF($C311="Açaí",1,0)</f>
        <v>0</v>
      </c>
      <c r="J311" s="38" t="n">
        <f aca="false">IF($C311="Banana",1,0)</f>
        <v>0</v>
      </c>
      <c r="K311" s="38" t="n">
        <f aca="false">IF($C311="Whey Protein",1,0)</f>
        <v>0</v>
      </c>
      <c r="L311" s="38" t="n">
        <f aca="false">IF(ISNUMBER(SEARCH("Copo",$C311)),1,0)</f>
        <v>0</v>
      </c>
    </row>
    <row r="312" customFormat="false" ht="15" hidden="false" customHeight="true" outlineLevel="0" collapsed="false">
      <c r="A312" s="29" t="s">
        <v>211</v>
      </c>
      <c r="B312" s="35" t="str">
        <f aca="false">IF($C312="","",IFERROR(INDEX(Insumos_Categoria,MATCH($C312,Insumos_Ingrediente,0)),""))</f>
        <v>Embalagens</v>
      </c>
      <c r="C312" s="29" t="s">
        <v>128</v>
      </c>
      <c r="D312" s="36" t="n">
        <v>1</v>
      </c>
      <c r="E312" s="35" t="str">
        <f aca="false">IF($C312="","",IFERROR(INDEX(Insumos_Unidade,MATCH($C312,Insumos_Ingrediente,0)),""))</f>
        <v>un</v>
      </c>
      <c r="F312" s="19" t="n">
        <f aca="false">IFERROR(INDEX(Insumos_CustoUnit,MATCH($C312,Insumos_Ingrediente,0)),0)</f>
        <v>0</v>
      </c>
      <c r="G312" s="19" t="n">
        <f aca="false">$D312*$F312</f>
        <v>0</v>
      </c>
      <c r="H312" s="38" t="n">
        <f aca="false">IF(OR($E312="g",$E312="ml"),$D312,0)</f>
        <v>0</v>
      </c>
      <c r="I312" s="38" t="n">
        <f aca="false">IF($C312="Açaí",1,0)</f>
        <v>0</v>
      </c>
      <c r="J312" s="38" t="n">
        <f aca="false">IF($C312="Banana",1,0)</f>
        <v>0</v>
      </c>
      <c r="K312" s="38" t="n">
        <f aca="false">IF($C312="Whey Protein",1,0)</f>
        <v>0</v>
      </c>
      <c r="L312" s="38" t="n">
        <f aca="false">IF(ISNUMBER(SEARCH("Copo",$C312)),1,0)</f>
        <v>1</v>
      </c>
    </row>
    <row r="313" customFormat="false" ht="15" hidden="false" customHeight="true" outlineLevel="0" collapsed="false">
      <c r="A313" s="29" t="s">
        <v>211</v>
      </c>
      <c r="B313" s="35" t="str">
        <f aca="false">IF($C313="","",IFERROR(INDEX(Insumos_Categoria,MATCH($C313,Insumos_Ingrediente,0)),""))</f>
        <v>Embalagens</v>
      </c>
      <c r="C313" s="29" t="s">
        <v>129</v>
      </c>
      <c r="D313" s="36" t="n">
        <v>1</v>
      </c>
      <c r="E313" s="35" t="str">
        <f aca="false">IF($C313="","",IFERROR(INDEX(Insumos_Unidade,MATCH($C313,Insumos_Ingrediente,0)),""))</f>
        <v>un</v>
      </c>
      <c r="F313" s="19" t="n">
        <f aca="false">IFERROR(INDEX(Insumos_CustoUnit,MATCH($C313,Insumos_Ingrediente,0)),0)</f>
        <v>0</v>
      </c>
      <c r="G313" s="19" t="n">
        <f aca="false">$D313*$F313</f>
        <v>0</v>
      </c>
      <c r="H313" s="38" t="n">
        <f aca="false">IF(OR($E313="g",$E313="ml"),$D313,0)</f>
        <v>0</v>
      </c>
      <c r="I313" s="38" t="n">
        <f aca="false">IF($C313="Açaí",1,0)</f>
        <v>0</v>
      </c>
      <c r="J313" s="38" t="n">
        <f aca="false">IF($C313="Banana",1,0)</f>
        <v>0</v>
      </c>
      <c r="K313" s="38" t="n">
        <f aca="false">IF($C313="Whey Protein",1,0)</f>
        <v>0</v>
      </c>
      <c r="L313" s="38" t="n">
        <f aca="false">IF(ISNUMBER(SEARCH("Copo",$C313)),1,0)</f>
        <v>0</v>
      </c>
    </row>
    <row r="314" customFormat="false" ht="15" hidden="false" customHeight="true" outlineLevel="0" collapsed="false">
      <c r="A314" s="29" t="s">
        <v>211</v>
      </c>
      <c r="B314" s="35" t="str">
        <f aca="false">IF($C314="","",IFERROR(INDEX(Insumos_Categoria,MATCH($C314,Insumos_Ingrediente,0)),""))</f>
        <v>Embalagens</v>
      </c>
      <c r="C314" s="29" t="s">
        <v>130</v>
      </c>
      <c r="D314" s="36" t="n">
        <v>1</v>
      </c>
      <c r="E314" s="35" t="str">
        <f aca="false">IF($C314="","",IFERROR(INDEX(Insumos_Unidade,MATCH($C314,Insumos_Ingrediente,0)),""))</f>
        <v>un</v>
      </c>
      <c r="F314" s="19" t="n">
        <f aca="false">IFERROR(INDEX(Insumos_CustoUnit,MATCH($C314,Insumos_Ingrediente,0)),0)</f>
        <v>0</v>
      </c>
      <c r="G314" s="19" t="n">
        <f aca="false">$D314*$F314</f>
        <v>0</v>
      </c>
      <c r="H314" s="38" t="n">
        <f aca="false">IF(OR($E314="g",$E314="ml"),$D314,0)</f>
        <v>0</v>
      </c>
      <c r="I314" s="38" t="n">
        <f aca="false">IF($C314="Açaí",1,0)</f>
        <v>0</v>
      </c>
      <c r="J314" s="38" t="n">
        <f aca="false">IF($C314="Banana",1,0)</f>
        <v>0</v>
      </c>
      <c r="K314" s="38" t="n">
        <f aca="false">IF($C314="Whey Protein",1,0)</f>
        <v>0</v>
      </c>
      <c r="L314" s="38" t="n">
        <f aca="false">IF(ISNUMBER(SEARCH("Copo",$C314)),1,0)</f>
        <v>0</v>
      </c>
    </row>
    <row r="315" customFormat="false" ht="15" hidden="false" customHeight="true" outlineLevel="0" collapsed="false">
      <c r="A315" s="29" t="s">
        <v>211</v>
      </c>
      <c r="B315" s="35" t="str">
        <f aca="false">IF($C315="","",IFERROR(INDEX(Insumos_Categoria,MATCH($C315,Insumos_Ingrediente,0)),""))</f>
        <v>Consumíveis</v>
      </c>
      <c r="C315" s="29" t="s">
        <v>143</v>
      </c>
      <c r="D315" s="36" t="n">
        <v>1</v>
      </c>
      <c r="E315" s="35" t="str">
        <f aca="false">IF($C315="","",IFERROR(INDEX(Insumos_Unidade,MATCH($C315,Insumos_Ingrediente,0)),""))</f>
        <v>un</v>
      </c>
      <c r="F315" s="19" t="n">
        <f aca="false">IFERROR(INDEX(Insumos_CustoUnit,MATCH($C315,Insumos_Ingrediente,0)),0)</f>
        <v>0</v>
      </c>
      <c r="G315" s="19" t="n">
        <f aca="false">$D315*$F315</f>
        <v>0</v>
      </c>
      <c r="H315" s="38" t="n">
        <f aca="false">IF(OR($E315="g",$E315="ml"),$D315,0)</f>
        <v>0</v>
      </c>
      <c r="I315" s="38" t="n">
        <f aca="false">IF($C315="Açaí",1,0)</f>
        <v>0</v>
      </c>
      <c r="J315" s="38" t="n">
        <f aca="false">IF($C315="Banana",1,0)</f>
        <v>0</v>
      </c>
      <c r="K315" s="38" t="n">
        <f aca="false">IF($C315="Whey Protein",1,0)</f>
        <v>0</v>
      </c>
      <c r="L315" s="38" t="n">
        <f aca="false">IF(ISNUMBER(SEARCH("Copo",$C315)),1,0)</f>
        <v>0</v>
      </c>
    </row>
    <row r="316" customFormat="false" ht="15" hidden="false" customHeight="true" outlineLevel="0" collapsed="false">
      <c r="A316" s="29" t="s">
        <v>212</v>
      </c>
      <c r="B316" s="35" t="str">
        <f aca="false">IF($C316="","",IFERROR(INDEX(Insumos_Categoria,MATCH($C316,Insumos_Ingrediente,0)),""))</f>
        <v>Bases (Produção Própria)</v>
      </c>
      <c r="C316" s="29" t="s">
        <v>88</v>
      </c>
      <c r="D316" s="36" t="n">
        <v>150</v>
      </c>
      <c r="E316" s="35" t="str">
        <f aca="false">IF($C316="","",IFERROR(INDEX(Insumos_Unidade,MATCH($C316,Insumos_Ingrediente,0)),""))</f>
        <v>ml</v>
      </c>
      <c r="F316" s="19" t="n">
        <f aca="false">IFERROR(INDEX(Insumos_CustoUnit,MATCH($C316,Insumos_Ingrediente,0)),0)</f>
        <v>0.0165</v>
      </c>
      <c r="G316" s="19" t="n">
        <f aca="false">$D316*$F316</f>
        <v>2.475</v>
      </c>
      <c r="H316" s="37" t="n">
        <f aca="false">IF(OR($E316="g",$E316="ml"),$D316,0)</f>
        <v>150</v>
      </c>
      <c r="I316" s="38" t="n">
        <f aca="false">IF($C316="Açaí",1,0)</f>
        <v>1</v>
      </c>
      <c r="J316" s="38" t="n">
        <f aca="false">IF($C316="Banana",1,0)</f>
        <v>0</v>
      </c>
      <c r="K316" s="38" t="n">
        <f aca="false">IF($C316="Whey Protein",1,0)</f>
        <v>0</v>
      </c>
      <c r="L316" s="38" t="n">
        <f aca="false">IF(ISNUMBER(SEARCH("Copo",$C316)),1,0)</f>
        <v>0</v>
      </c>
    </row>
    <row r="317" customFormat="false" ht="15" hidden="false" customHeight="true" outlineLevel="0" collapsed="false">
      <c r="A317" s="29" t="s">
        <v>212</v>
      </c>
      <c r="B317" s="35" t="str">
        <f aca="false">IF($C317="","",IFERROR(INDEX(Insumos_Categoria,MATCH($C317,Insumos_Ingrediente,0)),""))</f>
        <v>Bases (Produção Própria)</v>
      </c>
      <c r="C317" s="29" t="s">
        <v>94</v>
      </c>
      <c r="D317" s="36" t="n">
        <v>300</v>
      </c>
      <c r="E317" s="35" t="str">
        <f aca="false">IF($C317="","",IFERROR(INDEX(Insumos_Unidade,MATCH($C317,Insumos_Ingrediente,0)),""))</f>
        <v>ml</v>
      </c>
      <c r="F317" s="19" t="n">
        <f aca="false">IFERROR(INDEX(Insumos_CustoUnit,MATCH($C317,Insumos_Ingrediente,0)),0)</f>
        <v>0</v>
      </c>
      <c r="G317" s="19" t="n">
        <f aca="false">$D317*$F317</f>
        <v>0</v>
      </c>
      <c r="H317" s="37" t="n">
        <f aca="false">IF(OR($E317="g",$E317="ml"),$D317,0)</f>
        <v>300</v>
      </c>
      <c r="I317" s="38" t="n">
        <f aca="false">IF($C317="Açaí",1,0)</f>
        <v>0</v>
      </c>
      <c r="J317" s="38" t="n">
        <f aca="false">IF($C317="Banana",1,0)</f>
        <v>0</v>
      </c>
      <c r="K317" s="38" t="n">
        <f aca="false">IF($C317="Whey Protein",1,0)</f>
        <v>0</v>
      </c>
      <c r="L317" s="38" t="n">
        <f aca="false">IF(ISNUMBER(SEARCH("Copo",$C317)),1,0)</f>
        <v>0</v>
      </c>
    </row>
    <row r="318" customFormat="false" ht="15" hidden="false" customHeight="true" outlineLevel="0" collapsed="false">
      <c r="A318" s="29" t="s">
        <v>212</v>
      </c>
      <c r="B318" s="35" t="str">
        <f aca="false">IF($C318="","",IFERROR(INDEX(Insumos_Categoria,MATCH($C318,Insumos_Ingrediente,0)),""))</f>
        <v>Coberturas (30g)</v>
      </c>
      <c r="C318" s="29" t="s">
        <v>103</v>
      </c>
      <c r="D318" s="36" t="n">
        <v>30</v>
      </c>
      <c r="E318" s="35" t="str">
        <f aca="false">IF($C318="","",IFERROR(INDEX(Insumos_Unidade,MATCH($C318,Insumos_Ingrediente,0)),""))</f>
        <v>g</v>
      </c>
      <c r="F318" s="19" t="n">
        <f aca="false">IFERROR(INDEX(Insumos_CustoUnit,MATCH($C318,Insumos_Ingrediente,0)),0)</f>
        <v>0.01213</v>
      </c>
      <c r="G318" s="19" t="n">
        <f aca="false">$D318*$F318</f>
        <v>0.3639</v>
      </c>
      <c r="H318" s="37" t="n">
        <f aca="false">IF(OR($E318="g",$E318="ml"),$D318,0)</f>
        <v>30</v>
      </c>
      <c r="I318" s="38" t="n">
        <f aca="false">IF($C318="Açaí",1,0)</f>
        <v>0</v>
      </c>
      <c r="J318" s="38" t="n">
        <f aca="false">IF($C318="Banana",1,0)</f>
        <v>0</v>
      </c>
      <c r="K318" s="38" t="n">
        <f aca="false">IF($C318="Whey Protein",1,0)</f>
        <v>0</v>
      </c>
      <c r="L318" s="38" t="n">
        <f aca="false">IF(ISNUMBER(SEARCH("Copo",$C318)),1,0)</f>
        <v>0</v>
      </c>
    </row>
    <row r="319" customFormat="false" ht="15" hidden="false" customHeight="true" outlineLevel="0" collapsed="false">
      <c r="A319" s="29" t="s">
        <v>212</v>
      </c>
      <c r="B319" s="35" t="str">
        <f aca="false">IF($C319="","",IFERROR(INDEX(Insumos_Categoria,MATCH($C319,Insumos_Ingrediente,0)),""))</f>
        <v>Coberturas (30g)</v>
      </c>
      <c r="C319" s="29" t="s">
        <v>111</v>
      </c>
      <c r="D319" s="36" t="n">
        <v>30</v>
      </c>
      <c r="E319" s="35" t="str">
        <f aca="false">IF($C319="","",IFERROR(INDEX(Insumos_Unidade,MATCH($C319,Insumos_Ingrediente,0)),""))</f>
        <v>ml</v>
      </c>
      <c r="F319" s="19" t="n">
        <f aca="false">IFERROR(INDEX(Insumos_CustoUnit,MATCH($C319,Insumos_Ingrediente,0)),0)</f>
        <v>0</v>
      </c>
      <c r="G319" s="19" t="n">
        <f aca="false">$D319*$F319</f>
        <v>0</v>
      </c>
      <c r="H319" s="37" t="n">
        <f aca="false">IF(OR($E319="g",$E319="ml"),$D319,0)</f>
        <v>30</v>
      </c>
      <c r="I319" s="38" t="n">
        <f aca="false">IF($C319="Açaí",1,0)</f>
        <v>0</v>
      </c>
      <c r="J319" s="38" t="n">
        <f aca="false">IF($C319="Banana",1,0)</f>
        <v>0</v>
      </c>
      <c r="K319" s="38" t="n">
        <f aca="false">IF($C319="Whey Protein",1,0)</f>
        <v>0</v>
      </c>
      <c r="L319" s="38" t="n">
        <f aca="false">IF(ISNUMBER(SEARCH("Copo",$C319)),1,0)</f>
        <v>0</v>
      </c>
    </row>
    <row r="320" customFormat="false" ht="15" hidden="false" customHeight="true" outlineLevel="0" collapsed="false">
      <c r="A320" s="29" t="s">
        <v>212</v>
      </c>
      <c r="B320" s="35" t="str">
        <f aca="false">IF($C320="","",IFERROR(INDEX(Insumos_Categoria,MATCH($C320,Insumos_Ingrediente,0)),""))</f>
        <v>Embalagens</v>
      </c>
      <c r="C320" s="29" t="s">
        <v>128</v>
      </c>
      <c r="D320" s="36" t="n">
        <v>1</v>
      </c>
      <c r="E320" s="35" t="str">
        <f aca="false">IF($C320="","",IFERROR(INDEX(Insumos_Unidade,MATCH($C320,Insumos_Ingrediente,0)),""))</f>
        <v>un</v>
      </c>
      <c r="F320" s="19" t="n">
        <f aca="false">IFERROR(INDEX(Insumos_CustoUnit,MATCH($C320,Insumos_Ingrediente,0)),0)</f>
        <v>0</v>
      </c>
      <c r="G320" s="19" t="n">
        <f aca="false">$D320*$F320</f>
        <v>0</v>
      </c>
      <c r="H320" s="38" t="n">
        <f aca="false">IF(OR($E320="g",$E320="ml"),$D320,0)</f>
        <v>0</v>
      </c>
      <c r="I320" s="38" t="n">
        <f aca="false">IF($C320="Açaí",1,0)</f>
        <v>0</v>
      </c>
      <c r="J320" s="38" t="n">
        <f aca="false">IF($C320="Banana",1,0)</f>
        <v>0</v>
      </c>
      <c r="K320" s="38" t="n">
        <f aca="false">IF($C320="Whey Protein",1,0)</f>
        <v>0</v>
      </c>
      <c r="L320" s="38" t="n">
        <f aca="false">IF(ISNUMBER(SEARCH("Copo",$C320)),1,0)</f>
        <v>1</v>
      </c>
    </row>
    <row r="321" customFormat="false" ht="15" hidden="false" customHeight="true" outlineLevel="0" collapsed="false">
      <c r="A321" s="29" t="s">
        <v>212</v>
      </c>
      <c r="B321" s="35" t="str">
        <f aca="false">IF($C321="","",IFERROR(INDEX(Insumos_Categoria,MATCH($C321,Insumos_Ingrediente,0)),""))</f>
        <v>Embalagens</v>
      </c>
      <c r="C321" s="29" t="s">
        <v>129</v>
      </c>
      <c r="D321" s="36" t="n">
        <v>1</v>
      </c>
      <c r="E321" s="35" t="str">
        <f aca="false">IF($C321="","",IFERROR(INDEX(Insumos_Unidade,MATCH($C321,Insumos_Ingrediente,0)),""))</f>
        <v>un</v>
      </c>
      <c r="F321" s="19" t="n">
        <f aca="false">IFERROR(INDEX(Insumos_CustoUnit,MATCH($C321,Insumos_Ingrediente,0)),0)</f>
        <v>0</v>
      </c>
      <c r="G321" s="19" t="n">
        <f aca="false">$D321*$F321</f>
        <v>0</v>
      </c>
      <c r="H321" s="38" t="n">
        <f aca="false">IF(OR($E321="g",$E321="ml"),$D321,0)</f>
        <v>0</v>
      </c>
      <c r="I321" s="38" t="n">
        <f aca="false">IF($C321="Açaí",1,0)</f>
        <v>0</v>
      </c>
      <c r="J321" s="38" t="n">
        <f aca="false">IF($C321="Banana",1,0)</f>
        <v>0</v>
      </c>
      <c r="K321" s="38" t="n">
        <f aca="false">IF($C321="Whey Protein",1,0)</f>
        <v>0</v>
      </c>
      <c r="L321" s="38" t="n">
        <f aca="false">IF(ISNUMBER(SEARCH("Copo",$C321)),1,0)</f>
        <v>0</v>
      </c>
    </row>
    <row r="322" customFormat="false" ht="15" hidden="false" customHeight="true" outlineLevel="0" collapsed="false">
      <c r="A322" s="29" t="s">
        <v>212</v>
      </c>
      <c r="B322" s="35" t="str">
        <f aca="false">IF($C322="","",IFERROR(INDEX(Insumos_Categoria,MATCH($C322,Insumos_Ingrediente,0)),""))</f>
        <v>Embalagens</v>
      </c>
      <c r="C322" s="29" t="s">
        <v>130</v>
      </c>
      <c r="D322" s="36" t="n">
        <v>1</v>
      </c>
      <c r="E322" s="35" t="str">
        <f aca="false">IF($C322="","",IFERROR(INDEX(Insumos_Unidade,MATCH($C322,Insumos_Ingrediente,0)),""))</f>
        <v>un</v>
      </c>
      <c r="F322" s="19" t="n">
        <f aca="false">IFERROR(INDEX(Insumos_CustoUnit,MATCH($C322,Insumos_Ingrediente,0)),0)</f>
        <v>0</v>
      </c>
      <c r="G322" s="19" t="n">
        <f aca="false">$D322*$F322</f>
        <v>0</v>
      </c>
      <c r="H322" s="38" t="n">
        <f aca="false">IF(OR($E322="g",$E322="ml"),$D322,0)</f>
        <v>0</v>
      </c>
      <c r="I322" s="38" t="n">
        <f aca="false">IF($C322="Açaí",1,0)</f>
        <v>0</v>
      </c>
      <c r="J322" s="38" t="n">
        <f aca="false">IF($C322="Banana",1,0)</f>
        <v>0</v>
      </c>
      <c r="K322" s="38" t="n">
        <f aca="false">IF($C322="Whey Protein",1,0)</f>
        <v>0</v>
      </c>
      <c r="L322" s="38" t="n">
        <f aca="false">IF(ISNUMBER(SEARCH("Copo",$C322)),1,0)</f>
        <v>0</v>
      </c>
    </row>
    <row r="323" customFormat="false" ht="15" hidden="false" customHeight="true" outlineLevel="0" collapsed="false">
      <c r="A323" s="29" t="s">
        <v>212</v>
      </c>
      <c r="B323" s="35" t="str">
        <f aca="false">IF($C323="","",IFERROR(INDEX(Insumos_Categoria,MATCH($C323,Insumos_Ingrediente,0)),""))</f>
        <v>Consumíveis</v>
      </c>
      <c r="C323" s="29" t="s">
        <v>143</v>
      </c>
      <c r="D323" s="36" t="n">
        <v>1</v>
      </c>
      <c r="E323" s="35" t="str">
        <f aca="false">IF($C323="","",IFERROR(INDEX(Insumos_Unidade,MATCH($C323,Insumos_Ingrediente,0)),""))</f>
        <v>un</v>
      </c>
      <c r="F323" s="19" t="n">
        <f aca="false">IFERROR(INDEX(Insumos_CustoUnit,MATCH($C323,Insumos_Ingrediente,0)),0)</f>
        <v>0</v>
      </c>
      <c r="G323" s="19" t="n">
        <f aca="false">$D323*$F323</f>
        <v>0</v>
      </c>
      <c r="H323" s="38" t="n">
        <f aca="false">IF(OR($E323="g",$E323="ml"),$D323,0)</f>
        <v>0</v>
      </c>
      <c r="I323" s="38" t="n">
        <f aca="false">IF($C323="Açaí",1,0)</f>
        <v>0</v>
      </c>
      <c r="J323" s="38" t="n">
        <f aca="false">IF($C323="Banana",1,0)</f>
        <v>0</v>
      </c>
      <c r="K323" s="38" t="n">
        <f aca="false">IF($C323="Whey Protein",1,0)</f>
        <v>0</v>
      </c>
      <c r="L323" s="38" t="n">
        <f aca="false">IF(ISNUMBER(SEARCH("Copo",$C323)),1,0)</f>
        <v>0</v>
      </c>
    </row>
    <row r="324" customFormat="false" ht="15" hidden="false" customHeight="true" outlineLevel="0" collapsed="false">
      <c r="A324" s="29" t="s">
        <v>213</v>
      </c>
      <c r="B324" s="35" t="str">
        <f aca="false">IF($C324="","",IFERROR(INDEX(Insumos_Categoria,MATCH($C324,Insumos_Ingrediente,0)),""))</f>
        <v>Bases (Produção Própria)</v>
      </c>
      <c r="C324" s="29" t="s">
        <v>88</v>
      </c>
      <c r="D324" s="36" t="n">
        <v>150</v>
      </c>
      <c r="E324" s="35" t="str">
        <f aca="false">IF($C324="","",IFERROR(INDEX(Insumos_Unidade,MATCH($C324,Insumos_Ingrediente,0)),""))</f>
        <v>ml</v>
      </c>
      <c r="F324" s="19" t="n">
        <f aca="false">IFERROR(INDEX(Insumos_CustoUnit,MATCH($C324,Insumos_Ingrediente,0)),0)</f>
        <v>0.0165</v>
      </c>
      <c r="G324" s="19" t="n">
        <f aca="false">$D324*$F324</f>
        <v>2.475</v>
      </c>
      <c r="H324" s="37" t="n">
        <f aca="false">IF(OR($E324="g",$E324="ml"),$D324,0)</f>
        <v>150</v>
      </c>
      <c r="I324" s="38" t="n">
        <f aca="false">IF($C324="Açaí",1,0)</f>
        <v>1</v>
      </c>
      <c r="J324" s="38" t="n">
        <f aca="false">IF($C324="Banana",1,0)</f>
        <v>0</v>
      </c>
      <c r="K324" s="38" t="n">
        <f aca="false">IF($C324="Whey Protein",1,0)</f>
        <v>0</v>
      </c>
      <c r="L324" s="38" t="n">
        <f aca="false">IF(ISNUMBER(SEARCH("Copo",$C324)),1,0)</f>
        <v>0</v>
      </c>
    </row>
    <row r="325" customFormat="false" ht="15" hidden="false" customHeight="true" outlineLevel="0" collapsed="false">
      <c r="A325" s="29" t="s">
        <v>213</v>
      </c>
      <c r="B325" s="35" t="str">
        <f aca="false">IF($C325="","",IFERROR(INDEX(Insumos_Categoria,MATCH($C325,Insumos_Ingrediente,0)),""))</f>
        <v>Bases (Produção Própria)</v>
      </c>
      <c r="C325" s="29" t="s">
        <v>94</v>
      </c>
      <c r="D325" s="36" t="n">
        <v>300</v>
      </c>
      <c r="E325" s="35" t="str">
        <f aca="false">IF($C325="","",IFERROR(INDEX(Insumos_Unidade,MATCH($C325,Insumos_Ingrediente,0)),""))</f>
        <v>ml</v>
      </c>
      <c r="F325" s="19" t="n">
        <f aca="false">IFERROR(INDEX(Insumos_CustoUnit,MATCH($C325,Insumos_Ingrediente,0)),0)</f>
        <v>0</v>
      </c>
      <c r="G325" s="19" t="n">
        <f aca="false">$D325*$F325</f>
        <v>0</v>
      </c>
      <c r="H325" s="37" t="n">
        <f aca="false">IF(OR($E325="g",$E325="ml"),$D325,0)</f>
        <v>300</v>
      </c>
      <c r="I325" s="38" t="n">
        <f aca="false">IF($C325="Açaí",1,0)</f>
        <v>0</v>
      </c>
      <c r="J325" s="38" t="n">
        <f aca="false">IF($C325="Banana",1,0)</f>
        <v>0</v>
      </c>
      <c r="K325" s="38" t="n">
        <f aca="false">IF($C325="Whey Protein",1,0)</f>
        <v>0</v>
      </c>
      <c r="L325" s="38" t="n">
        <f aca="false">IF(ISNUMBER(SEARCH("Copo",$C325)),1,0)</f>
        <v>0</v>
      </c>
    </row>
    <row r="326" customFormat="false" ht="15" hidden="false" customHeight="true" outlineLevel="0" collapsed="false">
      <c r="A326" s="29" t="s">
        <v>213</v>
      </c>
      <c r="B326" s="35" t="str">
        <f aca="false">IF($C326="","",IFERROR(INDEX(Insumos_Categoria,MATCH($C326,Insumos_Ingrediente,0)),""))</f>
        <v>Coberturas (30g)</v>
      </c>
      <c r="C326" s="29" t="s">
        <v>103</v>
      </c>
      <c r="D326" s="36" t="n">
        <v>30</v>
      </c>
      <c r="E326" s="35" t="str">
        <f aca="false">IF($C326="","",IFERROR(INDEX(Insumos_Unidade,MATCH($C326,Insumos_Ingrediente,0)),""))</f>
        <v>g</v>
      </c>
      <c r="F326" s="19" t="n">
        <f aca="false">IFERROR(INDEX(Insumos_CustoUnit,MATCH($C326,Insumos_Ingrediente,0)),0)</f>
        <v>0.01213</v>
      </c>
      <c r="G326" s="19" t="n">
        <f aca="false">$D326*$F326</f>
        <v>0.3639</v>
      </c>
      <c r="H326" s="37" t="n">
        <f aca="false">IF(OR($E326="g",$E326="ml"),$D326,0)</f>
        <v>30</v>
      </c>
      <c r="I326" s="38" t="n">
        <f aca="false">IF($C326="Açaí",1,0)</f>
        <v>0</v>
      </c>
      <c r="J326" s="38" t="n">
        <f aca="false">IF($C326="Banana",1,0)</f>
        <v>0</v>
      </c>
      <c r="K326" s="38" t="n">
        <f aca="false">IF($C326="Whey Protein",1,0)</f>
        <v>0</v>
      </c>
      <c r="L326" s="38" t="n">
        <f aca="false">IF(ISNUMBER(SEARCH("Copo",$C326)),1,0)</f>
        <v>0</v>
      </c>
    </row>
    <row r="327" customFormat="false" ht="15" hidden="false" customHeight="true" outlineLevel="0" collapsed="false">
      <c r="A327" s="29" t="s">
        <v>213</v>
      </c>
      <c r="B327" s="35" t="str">
        <f aca="false">IF($C327="","",IFERROR(INDEX(Insumos_Categoria,MATCH($C327,Insumos_Ingrediente,0)),""))</f>
        <v>Coberturas (30g)</v>
      </c>
      <c r="C327" s="29" t="s">
        <v>96</v>
      </c>
      <c r="D327" s="36" t="n">
        <v>30</v>
      </c>
      <c r="E327" s="35" t="str">
        <f aca="false">IF($C327="","",IFERROR(INDEX(Insumos_Unidade,MATCH($C327,Insumos_Ingrediente,0)),""))</f>
        <v>g</v>
      </c>
      <c r="F327" s="19" t="n">
        <f aca="false">IFERROR(INDEX(Insumos_CustoUnit,MATCH($C327,Insumos_Ingrediente,0)),0)</f>
        <v>0.03355</v>
      </c>
      <c r="G327" s="19" t="n">
        <f aca="false">$D327*$F327</f>
        <v>1.0065</v>
      </c>
      <c r="H327" s="37" t="n">
        <f aca="false">IF(OR($E327="g",$E327="ml"),$D327,0)</f>
        <v>30</v>
      </c>
      <c r="I327" s="38" t="n">
        <f aca="false">IF($C327="Açaí",1,0)</f>
        <v>0</v>
      </c>
      <c r="J327" s="38" t="n">
        <f aca="false">IF($C327="Banana",1,0)</f>
        <v>0</v>
      </c>
      <c r="K327" s="38" t="n">
        <f aca="false">IF($C327="Whey Protein",1,0)</f>
        <v>0</v>
      </c>
      <c r="L327" s="38" t="n">
        <f aca="false">IF(ISNUMBER(SEARCH("Copo",$C327)),1,0)</f>
        <v>0</v>
      </c>
    </row>
    <row r="328" customFormat="false" ht="15" hidden="false" customHeight="true" outlineLevel="0" collapsed="false">
      <c r="A328" s="29" t="s">
        <v>213</v>
      </c>
      <c r="B328" s="35" t="str">
        <f aca="false">IF($C328="","",IFERROR(INDEX(Insumos_Categoria,MATCH($C328,Insumos_Ingrediente,0)),""))</f>
        <v>Coberturas (30g)</v>
      </c>
      <c r="C328" s="29" t="s">
        <v>115</v>
      </c>
      <c r="D328" s="36" t="n">
        <v>30</v>
      </c>
      <c r="E328" s="35" t="str">
        <f aca="false">IF($C328="","",IFERROR(INDEX(Insumos_Unidade,MATCH($C328,Insumos_Ingrediente,0)),""))</f>
        <v>g</v>
      </c>
      <c r="F328" s="19" t="n">
        <f aca="false">IFERROR(INDEX(Insumos_CustoUnit,MATCH($C328,Insumos_Ingrediente,0)),0)</f>
        <v>0</v>
      </c>
      <c r="G328" s="19" t="n">
        <f aca="false">$D328*$F328</f>
        <v>0</v>
      </c>
      <c r="H328" s="37" t="n">
        <f aca="false">IF(OR($E328="g",$E328="ml"),$D328,0)</f>
        <v>30</v>
      </c>
      <c r="I328" s="38" t="n">
        <f aca="false">IF($C328="Açaí",1,0)</f>
        <v>0</v>
      </c>
      <c r="J328" s="38" t="n">
        <f aca="false">IF($C328="Banana",1,0)</f>
        <v>0</v>
      </c>
      <c r="K328" s="38" t="n">
        <f aca="false">IF($C328="Whey Protein",1,0)</f>
        <v>0</v>
      </c>
      <c r="L328" s="38" t="n">
        <f aca="false">IF(ISNUMBER(SEARCH("Copo",$C328)),1,0)</f>
        <v>0</v>
      </c>
    </row>
    <row r="329" customFormat="false" ht="15" hidden="false" customHeight="true" outlineLevel="0" collapsed="false">
      <c r="A329" s="29" t="s">
        <v>213</v>
      </c>
      <c r="B329" s="35" t="str">
        <f aca="false">IF($C329="","",IFERROR(INDEX(Insumos_Categoria,MATCH($C329,Insumos_Ingrediente,0)),""))</f>
        <v>Embalagens</v>
      </c>
      <c r="C329" s="29" t="s">
        <v>128</v>
      </c>
      <c r="D329" s="36" t="n">
        <v>1</v>
      </c>
      <c r="E329" s="35" t="str">
        <f aca="false">IF($C329="","",IFERROR(INDEX(Insumos_Unidade,MATCH($C329,Insumos_Ingrediente,0)),""))</f>
        <v>un</v>
      </c>
      <c r="F329" s="19" t="n">
        <f aca="false">IFERROR(INDEX(Insumos_CustoUnit,MATCH($C329,Insumos_Ingrediente,0)),0)</f>
        <v>0</v>
      </c>
      <c r="G329" s="19" t="n">
        <f aca="false">$D329*$F329</f>
        <v>0</v>
      </c>
      <c r="H329" s="38" t="n">
        <f aca="false">IF(OR($E329="g",$E329="ml"),$D329,0)</f>
        <v>0</v>
      </c>
      <c r="I329" s="38" t="n">
        <f aca="false">IF($C329="Açaí",1,0)</f>
        <v>0</v>
      </c>
      <c r="J329" s="38" t="n">
        <f aca="false">IF($C329="Banana",1,0)</f>
        <v>0</v>
      </c>
      <c r="K329" s="38" t="n">
        <f aca="false">IF($C329="Whey Protein",1,0)</f>
        <v>0</v>
      </c>
      <c r="L329" s="38" t="n">
        <f aca="false">IF(ISNUMBER(SEARCH("Copo",$C329)),1,0)</f>
        <v>1</v>
      </c>
    </row>
    <row r="330" customFormat="false" ht="15" hidden="false" customHeight="true" outlineLevel="0" collapsed="false">
      <c r="A330" s="29" t="s">
        <v>213</v>
      </c>
      <c r="B330" s="35" t="str">
        <f aca="false">IF($C330="","",IFERROR(INDEX(Insumos_Categoria,MATCH($C330,Insumos_Ingrediente,0)),""))</f>
        <v>Embalagens</v>
      </c>
      <c r="C330" s="29" t="s">
        <v>129</v>
      </c>
      <c r="D330" s="36" t="n">
        <v>1</v>
      </c>
      <c r="E330" s="35" t="str">
        <f aca="false">IF($C330="","",IFERROR(INDEX(Insumos_Unidade,MATCH($C330,Insumos_Ingrediente,0)),""))</f>
        <v>un</v>
      </c>
      <c r="F330" s="19" t="n">
        <f aca="false">IFERROR(INDEX(Insumos_CustoUnit,MATCH($C330,Insumos_Ingrediente,0)),0)</f>
        <v>0</v>
      </c>
      <c r="G330" s="19" t="n">
        <f aca="false">$D330*$F330</f>
        <v>0</v>
      </c>
      <c r="H330" s="38" t="n">
        <f aca="false">IF(OR($E330="g",$E330="ml"),$D330,0)</f>
        <v>0</v>
      </c>
      <c r="I330" s="38" t="n">
        <f aca="false">IF($C330="Açaí",1,0)</f>
        <v>0</v>
      </c>
      <c r="J330" s="38" t="n">
        <f aca="false">IF($C330="Banana",1,0)</f>
        <v>0</v>
      </c>
      <c r="K330" s="38" t="n">
        <f aca="false">IF($C330="Whey Protein",1,0)</f>
        <v>0</v>
      </c>
      <c r="L330" s="38" t="n">
        <f aca="false">IF(ISNUMBER(SEARCH("Copo",$C330)),1,0)</f>
        <v>0</v>
      </c>
    </row>
    <row r="331" customFormat="false" ht="15" hidden="false" customHeight="true" outlineLevel="0" collapsed="false">
      <c r="A331" s="29" t="s">
        <v>213</v>
      </c>
      <c r="B331" s="35" t="str">
        <f aca="false">IF($C331="","",IFERROR(INDEX(Insumos_Categoria,MATCH($C331,Insumos_Ingrediente,0)),""))</f>
        <v>Embalagens</v>
      </c>
      <c r="C331" s="29" t="s">
        <v>130</v>
      </c>
      <c r="D331" s="36" t="n">
        <v>1</v>
      </c>
      <c r="E331" s="35" t="str">
        <f aca="false">IF($C331="","",IFERROR(INDEX(Insumos_Unidade,MATCH($C331,Insumos_Ingrediente,0)),""))</f>
        <v>un</v>
      </c>
      <c r="F331" s="19" t="n">
        <f aca="false">IFERROR(INDEX(Insumos_CustoUnit,MATCH($C331,Insumos_Ingrediente,0)),0)</f>
        <v>0</v>
      </c>
      <c r="G331" s="19" t="n">
        <f aca="false">$D331*$F331</f>
        <v>0</v>
      </c>
      <c r="H331" s="38" t="n">
        <f aca="false">IF(OR($E331="g",$E331="ml"),$D331,0)</f>
        <v>0</v>
      </c>
      <c r="I331" s="38" t="n">
        <f aca="false">IF($C331="Açaí",1,0)</f>
        <v>0</v>
      </c>
      <c r="J331" s="38" t="n">
        <f aca="false">IF($C331="Banana",1,0)</f>
        <v>0</v>
      </c>
      <c r="K331" s="38" t="n">
        <f aca="false">IF($C331="Whey Protein",1,0)</f>
        <v>0</v>
      </c>
      <c r="L331" s="38" t="n">
        <f aca="false">IF(ISNUMBER(SEARCH("Copo",$C331)),1,0)</f>
        <v>0</v>
      </c>
    </row>
    <row r="332" customFormat="false" ht="15" hidden="false" customHeight="true" outlineLevel="0" collapsed="false">
      <c r="A332" s="29" t="s">
        <v>213</v>
      </c>
      <c r="B332" s="35" t="str">
        <f aca="false">IF($C332="","",IFERROR(INDEX(Insumos_Categoria,MATCH($C332,Insumos_Ingrediente,0)),""))</f>
        <v>Consumíveis</v>
      </c>
      <c r="C332" s="29" t="s">
        <v>143</v>
      </c>
      <c r="D332" s="36" t="n">
        <v>1</v>
      </c>
      <c r="E332" s="35" t="str">
        <f aca="false">IF($C332="","",IFERROR(INDEX(Insumos_Unidade,MATCH($C332,Insumos_Ingrediente,0)),""))</f>
        <v>un</v>
      </c>
      <c r="F332" s="19" t="n">
        <f aca="false">IFERROR(INDEX(Insumos_CustoUnit,MATCH($C332,Insumos_Ingrediente,0)),0)</f>
        <v>0</v>
      </c>
      <c r="G332" s="19" t="n">
        <f aca="false">$D332*$F332</f>
        <v>0</v>
      </c>
      <c r="H332" s="38" t="n">
        <f aca="false">IF(OR($E332="g",$E332="ml"),$D332,0)</f>
        <v>0</v>
      </c>
      <c r="I332" s="38" t="n">
        <f aca="false">IF($C332="Açaí",1,0)</f>
        <v>0</v>
      </c>
      <c r="J332" s="38" t="n">
        <f aca="false">IF($C332="Banana",1,0)</f>
        <v>0</v>
      </c>
      <c r="K332" s="38" t="n">
        <f aca="false">IF($C332="Whey Protein",1,0)</f>
        <v>0</v>
      </c>
      <c r="L332" s="38" t="n">
        <f aca="false">IF(ISNUMBER(SEARCH("Copo",$C332)),1,0)</f>
        <v>0</v>
      </c>
    </row>
    <row r="333" customFormat="false" ht="15" hidden="false" customHeight="true" outlineLevel="0" collapsed="false">
      <c r="A333" s="29" t="s">
        <v>214</v>
      </c>
      <c r="B333" s="35" t="str">
        <f aca="false">IF($C333="","",IFERROR(INDEX(Insumos_Categoria,MATCH($C333,Insumos_Ingrediente,0)),""))</f>
        <v>Bases (Produção Própria)</v>
      </c>
      <c r="C333" s="29" t="s">
        <v>88</v>
      </c>
      <c r="D333" s="36" t="n">
        <v>150</v>
      </c>
      <c r="E333" s="35" t="str">
        <f aca="false">IF($C333="","",IFERROR(INDEX(Insumos_Unidade,MATCH($C333,Insumos_Ingrediente,0)),""))</f>
        <v>ml</v>
      </c>
      <c r="F333" s="19" t="n">
        <f aca="false">IFERROR(INDEX(Insumos_CustoUnit,MATCH($C333,Insumos_Ingrediente,0)),0)</f>
        <v>0.0165</v>
      </c>
      <c r="G333" s="19" t="n">
        <f aca="false">$D333*$F333</f>
        <v>2.475</v>
      </c>
      <c r="H333" s="37" t="n">
        <f aca="false">IF(OR($E333="g",$E333="ml"),$D333,0)</f>
        <v>150</v>
      </c>
      <c r="I333" s="38" t="n">
        <f aca="false">IF($C333="Açaí",1,0)</f>
        <v>1</v>
      </c>
      <c r="J333" s="38" t="n">
        <f aca="false">IF($C333="Banana",1,0)</f>
        <v>0</v>
      </c>
      <c r="K333" s="38" t="n">
        <f aca="false">IF($C333="Whey Protein",1,0)</f>
        <v>0</v>
      </c>
      <c r="L333" s="38" t="n">
        <f aca="false">IF(ISNUMBER(SEARCH("Copo",$C333)),1,0)</f>
        <v>0</v>
      </c>
    </row>
    <row r="334" customFormat="false" ht="15" hidden="false" customHeight="true" outlineLevel="0" collapsed="false">
      <c r="A334" s="29" t="s">
        <v>214</v>
      </c>
      <c r="B334" s="35" t="str">
        <f aca="false">IF($C334="","",IFERROR(INDEX(Insumos_Categoria,MATCH($C334,Insumos_Ingrediente,0)),""))</f>
        <v>Bases (Produção Própria)</v>
      </c>
      <c r="C334" s="29" t="s">
        <v>94</v>
      </c>
      <c r="D334" s="36" t="n">
        <v>300</v>
      </c>
      <c r="E334" s="35" t="str">
        <f aca="false">IF($C334="","",IFERROR(INDEX(Insumos_Unidade,MATCH($C334,Insumos_Ingrediente,0)),""))</f>
        <v>ml</v>
      </c>
      <c r="F334" s="19" t="n">
        <f aca="false">IFERROR(INDEX(Insumos_CustoUnit,MATCH($C334,Insumos_Ingrediente,0)),0)</f>
        <v>0</v>
      </c>
      <c r="G334" s="19" t="n">
        <f aca="false">$D334*$F334</f>
        <v>0</v>
      </c>
      <c r="H334" s="37" t="n">
        <f aca="false">IF(OR($E334="g",$E334="ml"),$D334,0)</f>
        <v>300</v>
      </c>
      <c r="I334" s="38" t="n">
        <f aca="false">IF($C334="Açaí",1,0)</f>
        <v>0</v>
      </c>
      <c r="J334" s="38" t="n">
        <f aca="false">IF($C334="Banana",1,0)</f>
        <v>0</v>
      </c>
      <c r="K334" s="38" t="n">
        <f aca="false">IF($C334="Whey Protein",1,0)</f>
        <v>0</v>
      </c>
      <c r="L334" s="38" t="n">
        <f aca="false">IF(ISNUMBER(SEARCH("Copo",$C334)),1,0)</f>
        <v>0</v>
      </c>
    </row>
    <row r="335" customFormat="false" ht="15" hidden="false" customHeight="true" outlineLevel="0" collapsed="false">
      <c r="A335" s="29" t="s">
        <v>214</v>
      </c>
      <c r="B335" s="35" t="str">
        <f aca="false">IF($C335="","",IFERROR(INDEX(Insumos_Categoria,MATCH($C335,Insumos_Ingrediente,0)),""))</f>
        <v>Coberturas (30g)</v>
      </c>
      <c r="C335" s="29" t="s">
        <v>103</v>
      </c>
      <c r="D335" s="36" t="n">
        <v>30</v>
      </c>
      <c r="E335" s="35" t="str">
        <f aca="false">IF($C335="","",IFERROR(INDEX(Insumos_Unidade,MATCH($C335,Insumos_Ingrediente,0)),""))</f>
        <v>g</v>
      </c>
      <c r="F335" s="19" t="n">
        <f aca="false">IFERROR(INDEX(Insumos_CustoUnit,MATCH($C335,Insumos_Ingrediente,0)),0)</f>
        <v>0.01213</v>
      </c>
      <c r="G335" s="19" t="n">
        <f aca="false">$D335*$F335</f>
        <v>0.3639</v>
      </c>
      <c r="H335" s="37" t="n">
        <f aca="false">IF(OR($E335="g",$E335="ml"),$D335,0)</f>
        <v>30</v>
      </c>
      <c r="I335" s="38" t="n">
        <f aca="false">IF($C335="Açaí",1,0)</f>
        <v>0</v>
      </c>
      <c r="J335" s="38" t="n">
        <f aca="false">IF($C335="Banana",1,0)</f>
        <v>0</v>
      </c>
      <c r="K335" s="38" t="n">
        <f aca="false">IF($C335="Whey Protein",1,0)</f>
        <v>0</v>
      </c>
      <c r="L335" s="38" t="n">
        <f aca="false">IF(ISNUMBER(SEARCH("Copo",$C335)),1,0)</f>
        <v>0</v>
      </c>
    </row>
    <row r="336" customFormat="false" ht="15" hidden="false" customHeight="true" outlineLevel="0" collapsed="false">
      <c r="A336" s="29" t="s">
        <v>214</v>
      </c>
      <c r="B336" s="35" t="str">
        <f aca="false">IF($C336="","",IFERROR(INDEX(Insumos_Categoria,MATCH($C336,Insumos_Ingrediente,0)),""))</f>
        <v>Coberturas (30g)</v>
      </c>
      <c r="C336" s="29" t="s">
        <v>106</v>
      </c>
      <c r="D336" s="36" t="n">
        <v>30</v>
      </c>
      <c r="E336" s="35" t="str">
        <f aca="false">IF($C336="","",IFERROR(INDEX(Insumos_Unidade,MATCH($C336,Insumos_Ingrediente,0)),""))</f>
        <v>g</v>
      </c>
      <c r="F336" s="19" t="n">
        <f aca="false">IFERROR(INDEX(Insumos_CustoUnit,MATCH($C336,Insumos_Ingrediente,0)),0)</f>
        <v>0.0532</v>
      </c>
      <c r="G336" s="19" t="n">
        <f aca="false">$D336*$F336</f>
        <v>1.596</v>
      </c>
      <c r="H336" s="37" t="n">
        <f aca="false">IF(OR($E336="g",$E336="ml"),$D336,0)</f>
        <v>30</v>
      </c>
      <c r="I336" s="38" t="n">
        <f aca="false">IF($C336="Açaí",1,0)</f>
        <v>0</v>
      </c>
      <c r="J336" s="38" t="n">
        <f aca="false">IF($C336="Banana",1,0)</f>
        <v>0</v>
      </c>
      <c r="K336" s="38" t="n">
        <f aca="false">IF($C336="Whey Protein",1,0)</f>
        <v>0</v>
      </c>
      <c r="L336" s="38" t="n">
        <f aca="false">IF(ISNUMBER(SEARCH("Copo",$C336)),1,0)</f>
        <v>0</v>
      </c>
    </row>
    <row r="337" customFormat="false" ht="15" hidden="false" customHeight="true" outlineLevel="0" collapsed="false">
      <c r="A337" s="29" t="s">
        <v>214</v>
      </c>
      <c r="B337" s="35" t="str">
        <f aca="false">IF($C337="","",IFERROR(INDEX(Insumos_Categoria,MATCH($C337,Insumos_Ingrediente,0)),""))</f>
        <v>Embalagens</v>
      </c>
      <c r="C337" s="29" t="s">
        <v>128</v>
      </c>
      <c r="D337" s="36" t="n">
        <v>1</v>
      </c>
      <c r="E337" s="35" t="str">
        <f aca="false">IF($C337="","",IFERROR(INDEX(Insumos_Unidade,MATCH($C337,Insumos_Ingrediente,0)),""))</f>
        <v>un</v>
      </c>
      <c r="F337" s="19" t="n">
        <f aca="false">IFERROR(INDEX(Insumos_CustoUnit,MATCH($C337,Insumos_Ingrediente,0)),0)</f>
        <v>0</v>
      </c>
      <c r="G337" s="19" t="n">
        <f aca="false">$D337*$F337</f>
        <v>0</v>
      </c>
      <c r="H337" s="38" t="n">
        <f aca="false">IF(OR($E337="g",$E337="ml"),$D337,0)</f>
        <v>0</v>
      </c>
      <c r="I337" s="38" t="n">
        <f aca="false">IF($C337="Açaí",1,0)</f>
        <v>0</v>
      </c>
      <c r="J337" s="38" t="n">
        <f aca="false">IF($C337="Banana",1,0)</f>
        <v>0</v>
      </c>
      <c r="K337" s="38" t="n">
        <f aca="false">IF($C337="Whey Protein",1,0)</f>
        <v>0</v>
      </c>
      <c r="L337" s="38" t="n">
        <f aca="false">IF(ISNUMBER(SEARCH("Copo",$C337)),1,0)</f>
        <v>1</v>
      </c>
    </row>
    <row r="338" customFormat="false" ht="15" hidden="false" customHeight="true" outlineLevel="0" collapsed="false">
      <c r="A338" s="29" t="s">
        <v>214</v>
      </c>
      <c r="B338" s="35" t="str">
        <f aca="false">IF($C338="","",IFERROR(INDEX(Insumos_Categoria,MATCH($C338,Insumos_Ingrediente,0)),""))</f>
        <v>Embalagens</v>
      </c>
      <c r="C338" s="29" t="s">
        <v>129</v>
      </c>
      <c r="D338" s="36" t="n">
        <v>1</v>
      </c>
      <c r="E338" s="35" t="str">
        <f aca="false">IF($C338="","",IFERROR(INDEX(Insumos_Unidade,MATCH($C338,Insumos_Ingrediente,0)),""))</f>
        <v>un</v>
      </c>
      <c r="F338" s="19" t="n">
        <f aca="false">IFERROR(INDEX(Insumos_CustoUnit,MATCH($C338,Insumos_Ingrediente,0)),0)</f>
        <v>0</v>
      </c>
      <c r="G338" s="19" t="n">
        <f aca="false">$D338*$F338</f>
        <v>0</v>
      </c>
      <c r="H338" s="38" t="n">
        <f aca="false">IF(OR($E338="g",$E338="ml"),$D338,0)</f>
        <v>0</v>
      </c>
      <c r="I338" s="38" t="n">
        <f aca="false">IF($C338="Açaí",1,0)</f>
        <v>0</v>
      </c>
      <c r="J338" s="38" t="n">
        <f aca="false">IF($C338="Banana",1,0)</f>
        <v>0</v>
      </c>
      <c r="K338" s="38" t="n">
        <f aca="false">IF($C338="Whey Protein",1,0)</f>
        <v>0</v>
      </c>
      <c r="L338" s="38" t="n">
        <f aca="false">IF(ISNUMBER(SEARCH("Copo",$C338)),1,0)</f>
        <v>0</v>
      </c>
    </row>
    <row r="339" customFormat="false" ht="15" hidden="false" customHeight="true" outlineLevel="0" collapsed="false">
      <c r="A339" s="29" t="s">
        <v>214</v>
      </c>
      <c r="B339" s="35" t="str">
        <f aca="false">IF($C339="","",IFERROR(INDEX(Insumos_Categoria,MATCH($C339,Insumos_Ingrediente,0)),""))</f>
        <v>Embalagens</v>
      </c>
      <c r="C339" s="29" t="s">
        <v>130</v>
      </c>
      <c r="D339" s="36" t="n">
        <v>1</v>
      </c>
      <c r="E339" s="35" t="str">
        <f aca="false">IF($C339="","",IFERROR(INDEX(Insumos_Unidade,MATCH($C339,Insumos_Ingrediente,0)),""))</f>
        <v>un</v>
      </c>
      <c r="F339" s="19" t="n">
        <f aca="false">IFERROR(INDEX(Insumos_CustoUnit,MATCH($C339,Insumos_Ingrediente,0)),0)</f>
        <v>0</v>
      </c>
      <c r="G339" s="19" t="n">
        <f aca="false">$D339*$F339</f>
        <v>0</v>
      </c>
      <c r="H339" s="38" t="n">
        <f aca="false">IF(OR($E339="g",$E339="ml"),$D339,0)</f>
        <v>0</v>
      </c>
      <c r="I339" s="38" t="n">
        <f aca="false">IF($C339="Açaí",1,0)</f>
        <v>0</v>
      </c>
      <c r="J339" s="38" t="n">
        <f aca="false">IF($C339="Banana",1,0)</f>
        <v>0</v>
      </c>
      <c r="K339" s="38" t="n">
        <f aca="false">IF($C339="Whey Protein",1,0)</f>
        <v>0</v>
      </c>
      <c r="L339" s="38" t="n">
        <f aca="false">IF(ISNUMBER(SEARCH("Copo",$C339)),1,0)</f>
        <v>0</v>
      </c>
    </row>
    <row r="340" customFormat="false" ht="15" hidden="false" customHeight="true" outlineLevel="0" collapsed="false">
      <c r="A340" s="29" t="s">
        <v>214</v>
      </c>
      <c r="B340" s="35" t="str">
        <f aca="false">IF($C340="","",IFERROR(INDEX(Insumos_Categoria,MATCH($C340,Insumos_Ingrediente,0)),""))</f>
        <v>Consumíveis</v>
      </c>
      <c r="C340" s="29" t="s">
        <v>143</v>
      </c>
      <c r="D340" s="36" t="n">
        <v>1</v>
      </c>
      <c r="E340" s="35" t="str">
        <f aca="false">IF($C340="","",IFERROR(INDEX(Insumos_Unidade,MATCH($C340,Insumos_Ingrediente,0)),""))</f>
        <v>un</v>
      </c>
      <c r="F340" s="19" t="n">
        <f aca="false">IFERROR(INDEX(Insumos_CustoUnit,MATCH($C340,Insumos_Ingrediente,0)),0)</f>
        <v>0</v>
      </c>
      <c r="G340" s="19" t="n">
        <f aca="false">$D340*$F340</f>
        <v>0</v>
      </c>
      <c r="H340" s="38" t="n">
        <f aca="false">IF(OR($E340="g",$E340="ml"),$D340,0)</f>
        <v>0</v>
      </c>
      <c r="I340" s="38" t="n">
        <f aca="false">IF($C340="Açaí",1,0)</f>
        <v>0</v>
      </c>
      <c r="J340" s="38" t="n">
        <f aca="false">IF($C340="Banana",1,0)</f>
        <v>0</v>
      </c>
      <c r="K340" s="38" t="n">
        <f aca="false">IF($C340="Whey Protein",1,0)</f>
        <v>0</v>
      </c>
      <c r="L340" s="38" t="n">
        <f aca="false">IF(ISNUMBER(SEARCH("Copo",$C340)),1,0)</f>
        <v>0</v>
      </c>
    </row>
    <row r="341" customFormat="false" ht="15" hidden="false" customHeight="true" outlineLevel="0" collapsed="false">
      <c r="A341" s="29" t="s">
        <v>215</v>
      </c>
      <c r="B341" s="35" t="str">
        <f aca="false">IF($C341="","",IFERROR(INDEX(Insumos_Categoria,MATCH($C341,Insumos_Ingrediente,0)),""))</f>
        <v>Bases (Produção Própria)</v>
      </c>
      <c r="C341" s="29" t="s">
        <v>88</v>
      </c>
      <c r="D341" s="36" t="n">
        <v>150</v>
      </c>
      <c r="E341" s="35" t="str">
        <f aca="false">IF($C341="","",IFERROR(INDEX(Insumos_Unidade,MATCH($C341,Insumos_Ingrediente,0)),""))</f>
        <v>ml</v>
      </c>
      <c r="F341" s="19" t="n">
        <f aca="false">IFERROR(INDEX(Insumos_CustoUnit,MATCH($C341,Insumos_Ingrediente,0)),0)</f>
        <v>0.0165</v>
      </c>
      <c r="G341" s="19" t="n">
        <f aca="false">$D341*$F341</f>
        <v>2.475</v>
      </c>
      <c r="H341" s="37" t="n">
        <f aca="false">IF(OR($E341="g",$E341="ml"),$D341,0)</f>
        <v>150</v>
      </c>
      <c r="I341" s="38" t="n">
        <f aca="false">IF($C341="Açaí",1,0)</f>
        <v>1</v>
      </c>
      <c r="J341" s="38" t="n">
        <f aca="false">IF($C341="Banana",1,0)</f>
        <v>0</v>
      </c>
      <c r="K341" s="38" t="n">
        <f aca="false">IF($C341="Whey Protein",1,0)</f>
        <v>0</v>
      </c>
      <c r="L341" s="38" t="n">
        <f aca="false">IF(ISNUMBER(SEARCH("Copo",$C341)),1,0)</f>
        <v>0</v>
      </c>
    </row>
    <row r="342" customFormat="false" ht="15" hidden="false" customHeight="true" outlineLevel="0" collapsed="false">
      <c r="A342" s="29" t="s">
        <v>215</v>
      </c>
      <c r="B342" s="35" t="str">
        <f aca="false">IF($C342="","",IFERROR(INDEX(Insumos_Categoria,MATCH($C342,Insumos_Ingrediente,0)),""))</f>
        <v>Bases (Produção Própria)</v>
      </c>
      <c r="C342" s="29" t="s">
        <v>94</v>
      </c>
      <c r="D342" s="36" t="n">
        <v>300</v>
      </c>
      <c r="E342" s="35" t="str">
        <f aca="false">IF($C342="","",IFERROR(INDEX(Insumos_Unidade,MATCH($C342,Insumos_Ingrediente,0)),""))</f>
        <v>ml</v>
      </c>
      <c r="F342" s="19" t="n">
        <f aca="false">IFERROR(INDEX(Insumos_CustoUnit,MATCH($C342,Insumos_Ingrediente,0)),0)</f>
        <v>0</v>
      </c>
      <c r="G342" s="19" t="n">
        <f aca="false">$D342*$F342</f>
        <v>0</v>
      </c>
      <c r="H342" s="37" t="n">
        <f aca="false">IF(OR($E342="g",$E342="ml"),$D342,0)</f>
        <v>300</v>
      </c>
      <c r="I342" s="38" t="n">
        <f aca="false">IF($C342="Açaí",1,0)</f>
        <v>0</v>
      </c>
      <c r="J342" s="38" t="n">
        <f aca="false">IF($C342="Banana",1,0)</f>
        <v>0</v>
      </c>
      <c r="K342" s="38" t="n">
        <f aca="false">IF($C342="Whey Protein",1,0)</f>
        <v>0</v>
      </c>
      <c r="L342" s="38" t="n">
        <f aca="false">IF(ISNUMBER(SEARCH("Copo",$C342)),1,0)</f>
        <v>0</v>
      </c>
    </row>
    <row r="343" customFormat="false" ht="15" hidden="false" customHeight="true" outlineLevel="0" collapsed="false">
      <c r="A343" s="29" t="s">
        <v>215</v>
      </c>
      <c r="B343" s="35" t="str">
        <f aca="false">IF($C343="","",IFERROR(INDEX(Insumos_Categoria,MATCH($C343,Insumos_Ingrediente,0)),""))</f>
        <v>Coberturas (30g)</v>
      </c>
      <c r="C343" s="29" t="s">
        <v>103</v>
      </c>
      <c r="D343" s="36" t="n">
        <v>30</v>
      </c>
      <c r="E343" s="35" t="str">
        <f aca="false">IF($C343="","",IFERROR(INDEX(Insumos_Unidade,MATCH($C343,Insumos_Ingrediente,0)),""))</f>
        <v>g</v>
      </c>
      <c r="F343" s="19" t="n">
        <f aca="false">IFERROR(INDEX(Insumos_CustoUnit,MATCH($C343,Insumos_Ingrediente,0)),0)</f>
        <v>0.01213</v>
      </c>
      <c r="G343" s="19" t="n">
        <f aca="false">$D343*$F343</f>
        <v>0.3639</v>
      </c>
      <c r="H343" s="37" t="n">
        <f aca="false">IF(OR($E343="g",$E343="ml"),$D343,0)</f>
        <v>30</v>
      </c>
      <c r="I343" s="38" t="n">
        <f aca="false">IF($C343="Açaí",1,0)</f>
        <v>0</v>
      </c>
      <c r="J343" s="38" t="n">
        <f aca="false">IF($C343="Banana",1,0)</f>
        <v>0</v>
      </c>
      <c r="K343" s="38" t="n">
        <f aca="false">IF($C343="Whey Protein",1,0)</f>
        <v>0</v>
      </c>
      <c r="L343" s="38" t="n">
        <f aca="false">IF(ISNUMBER(SEARCH("Copo",$C343)),1,0)</f>
        <v>0</v>
      </c>
    </row>
    <row r="344" customFormat="false" ht="15" hidden="false" customHeight="true" outlineLevel="0" collapsed="false">
      <c r="A344" s="29" t="s">
        <v>215</v>
      </c>
      <c r="B344" s="35" t="str">
        <f aca="false">IF($C344="","",IFERROR(INDEX(Insumos_Categoria,MATCH($C344,Insumos_Ingrediente,0)),""))</f>
        <v>Coberturas (30g)</v>
      </c>
      <c r="C344" s="29" t="s">
        <v>102</v>
      </c>
      <c r="D344" s="36" t="n">
        <v>30</v>
      </c>
      <c r="E344" s="35" t="str">
        <f aca="false">IF($C344="","",IFERROR(INDEX(Insumos_Unidade,MATCH($C344,Insumos_Ingrediente,0)),""))</f>
        <v>g</v>
      </c>
      <c r="F344" s="19" t="n">
        <f aca="false">IFERROR(INDEX(Insumos_CustoUnit,MATCH($C344,Insumos_Ingrediente,0)),0)</f>
        <v>0.02</v>
      </c>
      <c r="G344" s="19" t="n">
        <f aca="false">$D344*$F344</f>
        <v>0.6</v>
      </c>
      <c r="H344" s="37" t="n">
        <f aca="false">IF(OR($E344="g",$E344="ml"),$D344,0)</f>
        <v>30</v>
      </c>
      <c r="I344" s="38" t="n">
        <f aca="false">IF($C344="Açaí",1,0)</f>
        <v>0</v>
      </c>
      <c r="J344" s="38" t="n">
        <f aca="false">IF($C344="Banana",1,0)</f>
        <v>0</v>
      </c>
      <c r="K344" s="38" t="n">
        <f aca="false">IF($C344="Whey Protein",1,0)</f>
        <v>0</v>
      </c>
      <c r="L344" s="38" t="n">
        <f aca="false">IF(ISNUMBER(SEARCH("Copo",$C344)),1,0)</f>
        <v>0</v>
      </c>
    </row>
    <row r="345" customFormat="false" ht="15" hidden="false" customHeight="true" outlineLevel="0" collapsed="false">
      <c r="A345" s="29" t="s">
        <v>215</v>
      </c>
      <c r="B345" s="35" t="str">
        <f aca="false">IF($C345="","",IFERROR(INDEX(Insumos_Categoria,MATCH($C345,Insumos_Ingrediente,0)),""))</f>
        <v>Coberturas (30g)</v>
      </c>
      <c r="C345" s="29" t="s">
        <v>104</v>
      </c>
      <c r="D345" s="36" t="n">
        <v>30</v>
      </c>
      <c r="E345" s="35" t="str">
        <f aca="false">IF($C345="","",IFERROR(INDEX(Insumos_Unidade,MATCH($C345,Insumos_Ingrediente,0)),""))</f>
        <v>g</v>
      </c>
      <c r="F345" s="19" t="n">
        <f aca="false">IFERROR(INDEX(Insumos_CustoUnit,MATCH($C345,Insumos_Ingrediente,0)),0)</f>
        <v>0.02233</v>
      </c>
      <c r="G345" s="19" t="n">
        <f aca="false">$D345*$F345</f>
        <v>0.6699</v>
      </c>
      <c r="H345" s="37" t="n">
        <f aca="false">IF(OR($E345="g",$E345="ml"),$D345,0)</f>
        <v>30</v>
      </c>
      <c r="I345" s="38" t="n">
        <f aca="false">IF($C345="Açaí",1,0)</f>
        <v>0</v>
      </c>
      <c r="J345" s="38" t="n">
        <f aca="false">IF($C345="Banana",1,0)</f>
        <v>0</v>
      </c>
      <c r="K345" s="38" t="n">
        <f aca="false">IF($C345="Whey Protein",1,0)</f>
        <v>0</v>
      </c>
      <c r="L345" s="38" t="n">
        <f aca="false">IF(ISNUMBER(SEARCH("Copo",$C345)),1,0)</f>
        <v>0</v>
      </c>
    </row>
    <row r="346" customFormat="false" ht="15" hidden="false" customHeight="true" outlineLevel="0" collapsed="false">
      <c r="A346" s="29" t="s">
        <v>215</v>
      </c>
      <c r="B346" s="35" t="str">
        <f aca="false">IF($C346="","",IFERROR(INDEX(Insumos_Categoria,MATCH($C346,Insumos_Ingrediente,0)),""))</f>
        <v>Embalagens</v>
      </c>
      <c r="C346" s="29" t="s">
        <v>128</v>
      </c>
      <c r="D346" s="36" t="n">
        <v>1</v>
      </c>
      <c r="E346" s="35" t="str">
        <f aca="false">IF($C346="","",IFERROR(INDEX(Insumos_Unidade,MATCH($C346,Insumos_Ingrediente,0)),""))</f>
        <v>un</v>
      </c>
      <c r="F346" s="19" t="n">
        <f aca="false">IFERROR(INDEX(Insumos_CustoUnit,MATCH($C346,Insumos_Ingrediente,0)),0)</f>
        <v>0</v>
      </c>
      <c r="G346" s="19" t="n">
        <f aca="false">$D346*$F346</f>
        <v>0</v>
      </c>
      <c r="H346" s="38" t="n">
        <f aca="false">IF(OR($E346="g",$E346="ml"),$D346,0)</f>
        <v>0</v>
      </c>
      <c r="I346" s="38" t="n">
        <f aca="false">IF($C346="Açaí",1,0)</f>
        <v>0</v>
      </c>
      <c r="J346" s="38" t="n">
        <f aca="false">IF($C346="Banana",1,0)</f>
        <v>0</v>
      </c>
      <c r="K346" s="38" t="n">
        <f aca="false">IF($C346="Whey Protein",1,0)</f>
        <v>0</v>
      </c>
      <c r="L346" s="38" t="n">
        <f aca="false">IF(ISNUMBER(SEARCH("Copo",$C346)),1,0)</f>
        <v>1</v>
      </c>
    </row>
    <row r="347" customFormat="false" ht="15" hidden="false" customHeight="true" outlineLevel="0" collapsed="false">
      <c r="A347" s="29" t="s">
        <v>215</v>
      </c>
      <c r="B347" s="35" t="str">
        <f aca="false">IF($C347="","",IFERROR(INDEX(Insumos_Categoria,MATCH($C347,Insumos_Ingrediente,0)),""))</f>
        <v>Embalagens</v>
      </c>
      <c r="C347" s="29" t="s">
        <v>129</v>
      </c>
      <c r="D347" s="36" t="n">
        <v>1</v>
      </c>
      <c r="E347" s="35" t="str">
        <f aca="false">IF($C347="","",IFERROR(INDEX(Insumos_Unidade,MATCH($C347,Insumos_Ingrediente,0)),""))</f>
        <v>un</v>
      </c>
      <c r="F347" s="19" t="n">
        <f aca="false">IFERROR(INDEX(Insumos_CustoUnit,MATCH($C347,Insumos_Ingrediente,0)),0)</f>
        <v>0</v>
      </c>
      <c r="G347" s="19" t="n">
        <f aca="false">$D347*$F347</f>
        <v>0</v>
      </c>
      <c r="H347" s="38" t="n">
        <f aca="false">IF(OR($E347="g",$E347="ml"),$D347,0)</f>
        <v>0</v>
      </c>
      <c r="I347" s="38" t="n">
        <f aca="false">IF($C347="Açaí",1,0)</f>
        <v>0</v>
      </c>
      <c r="J347" s="38" t="n">
        <f aca="false">IF($C347="Banana",1,0)</f>
        <v>0</v>
      </c>
      <c r="K347" s="38" t="n">
        <f aca="false">IF($C347="Whey Protein",1,0)</f>
        <v>0</v>
      </c>
      <c r="L347" s="38" t="n">
        <f aca="false">IF(ISNUMBER(SEARCH("Copo",$C347)),1,0)</f>
        <v>0</v>
      </c>
    </row>
    <row r="348" customFormat="false" ht="15" hidden="false" customHeight="true" outlineLevel="0" collapsed="false">
      <c r="A348" s="29" t="s">
        <v>215</v>
      </c>
      <c r="B348" s="35" t="str">
        <f aca="false">IF($C348="","",IFERROR(INDEX(Insumos_Categoria,MATCH($C348,Insumos_Ingrediente,0)),""))</f>
        <v>Embalagens</v>
      </c>
      <c r="C348" s="29" t="s">
        <v>130</v>
      </c>
      <c r="D348" s="36" t="n">
        <v>1</v>
      </c>
      <c r="E348" s="35" t="str">
        <f aca="false">IF($C348="","",IFERROR(INDEX(Insumos_Unidade,MATCH($C348,Insumos_Ingrediente,0)),""))</f>
        <v>un</v>
      </c>
      <c r="F348" s="19" t="n">
        <f aca="false">IFERROR(INDEX(Insumos_CustoUnit,MATCH($C348,Insumos_Ingrediente,0)),0)</f>
        <v>0</v>
      </c>
      <c r="G348" s="19" t="n">
        <f aca="false">$D348*$F348</f>
        <v>0</v>
      </c>
      <c r="H348" s="38" t="n">
        <f aca="false">IF(OR($E348="g",$E348="ml"),$D348,0)</f>
        <v>0</v>
      </c>
      <c r="I348" s="38" t="n">
        <f aca="false">IF($C348="Açaí",1,0)</f>
        <v>0</v>
      </c>
      <c r="J348" s="38" t="n">
        <f aca="false">IF($C348="Banana",1,0)</f>
        <v>0</v>
      </c>
      <c r="K348" s="38" t="n">
        <f aca="false">IF($C348="Whey Protein",1,0)</f>
        <v>0</v>
      </c>
      <c r="L348" s="38" t="n">
        <f aca="false">IF(ISNUMBER(SEARCH("Copo",$C348)),1,0)</f>
        <v>0</v>
      </c>
    </row>
    <row r="349" customFormat="false" ht="15" hidden="false" customHeight="true" outlineLevel="0" collapsed="false">
      <c r="A349" s="29" t="s">
        <v>215</v>
      </c>
      <c r="B349" s="35" t="str">
        <f aca="false">IF($C349="","",IFERROR(INDEX(Insumos_Categoria,MATCH($C349,Insumos_Ingrediente,0)),""))</f>
        <v>Consumíveis</v>
      </c>
      <c r="C349" s="29" t="s">
        <v>143</v>
      </c>
      <c r="D349" s="36" t="n">
        <v>1</v>
      </c>
      <c r="E349" s="35" t="str">
        <f aca="false">IF($C349="","",IFERROR(INDEX(Insumos_Unidade,MATCH($C349,Insumos_Ingrediente,0)),""))</f>
        <v>un</v>
      </c>
      <c r="F349" s="19" t="n">
        <f aca="false">IFERROR(INDEX(Insumos_CustoUnit,MATCH($C349,Insumos_Ingrediente,0)),0)</f>
        <v>0</v>
      </c>
      <c r="G349" s="19" t="n">
        <f aca="false">$D349*$F349</f>
        <v>0</v>
      </c>
      <c r="H349" s="38" t="n">
        <f aca="false">IF(OR($E349="g",$E349="ml"),$D349,0)</f>
        <v>0</v>
      </c>
      <c r="I349" s="38" t="n">
        <f aca="false">IF($C349="Açaí",1,0)</f>
        <v>0</v>
      </c>
      <c r="J349" s="38" t="n">
        <f aca="false">IF($C349="Banana",1,0)</f>
        <v>0</v>
      </c>
      <c r="K349" s="38" t="n">
        <f aca="false">IF($C349="Whey Protein",1,0)</f>
        <v>0</v>
      </c>
      <c r="L349" s="38" t="n">
        <f aca="false">IF(ISNUMBER(SEARCH("Copo",$C349)),1,0)</f>
        <v>0</v>
      </c>
    </row>
    <row r="350" customFormat="false" ht="15" hidden="false" customHeight="true" outlineLevel="0" collapsed="false">
      <c r="A350" s="29" t="s">
        <v>216</v>
      </c>
      <c r="B350" s="35" t="str">
        <f aca="false">IF($C350="","",IFERROR(INDEX(Insumos_Categoria,MATCH($C350,Insumos_Ingrediente,0)),""))</f>
        <v>Bases (Produção Própria)</v>
      </c>
      <c r="C350" s="29" t="s">
        <v>88</v>
      </c>
      <c r="D350" s="36" t="n">
        <v>150</v>
      </c>
      <c r="E350" s="35" t="str">
        <f aca="false">IF($C350="","",IFERROR(INDEX(Insumos_Unidade,MATCH($C350,Insumos_Ingrediente,0)),""))</f>
        <v>ml</v>
      </c>
      <c r="F350" s="19" t="n">
        <f aca="false">IFERROR(INDEX(Insumos_CustoUnit,MATCH($C350,Insumos_Ingrediente,0)),0)</f>
        <v>0.0165</v>
      </c>
      <c r="G350" s="19" t="n">
        <f aca="false">$D350*$F350</f>
        <v>2.475</v>
      </c>
      <c r="H350" s="37" t="n">
        <f aca="false">IF(OR($E350="g",$E350="ml"),$D350,0)</f>
        <v>150</v>
      </c>
      <c r="I350" s="38" t="n">
        <f aca="false">IF($C350="Açaí",1,0)</f>
        <v>1</v>
      </c>
      <c r="J350" s="38" t="n">
        <f aca="false">IF($C350="Banana",1,0)</f>
        <v>0</v>
      </c>
      <c r="K350" s="38" t="n">
        <f aca="false">IF($C350="Whey Protein",1,0)</f>
        <v>0</v>
      </c>
      <c r="L350" s="38" t="n">
        <f aca="false">IF(ISNUMBER(SEARCH("Copo",$C350)),1,0)</f>
        <v>0</v>
      </c>
    </row>
    <row r="351" customFormat="false" ht="15" hidden="false" customHeight="true" outlineLevel="0" collapsed="false">
      <c r="A351" s="29" t="s">
        <v>216</v>
      </c>
      <c r="B351" s="35" t="str">
        <f aca="false">IF($C351="","",IFERROR(INDEX(Insumos_Categoria,MATCH($C351,Insumos_Ingrediente,0)),""))</f>
        <v>Bases (Produção Própria)</v>
      </c>
      <c r="C351" s="29" t="s">
        <v>94</v>
      </c>
      <c r="D351" s="36" t="n">
        <v>300</v>
      </c>
      <c r="E351" s="35" t="str">
        <f aca="false">IF($C351="","",IFERROR(INDEX(Insumos_Unidade,MATCH($C351,Insumos_Ingrediente,0)),""))</f>
        <v>ml</v>
      </c>
      <c r="F351" s="19" t="n">
        <f aca="false">IFERROR(INDEX(Insumos_CustoUnit,MATCH($C351,Insumos_Ingrediente,0)),0)</f>
        <v>0</v>
      </c>
      <c r="G351" s="19" t="n">
        <f aca="false">$D351*$F351</f>
        <v>0</v>
      </c>
      <c r="H351" s="37" t="n">
        <f aca="false">IF(OR($E351="g",$E351="ml"),$D351,0)</f>
        <v>300</v>
      </c>
      <c r="I351" s="38" t="n">
        <f aca="false">IF($C351="Açaí",1,0)</f>
        <v>0</v>
      </c>
      <c r="J351" s="38" t="n">
        <f aca="false">IF($C351="Banana",1,0)</f>
        <v>0</v>
      </c>
      <c r="K351" s="38" t="n">
        <f aca="false">IF($C351="Whey Protein",1,0)</f>
        <v>0</v>
      </c>
      <c r="L351" s="38" t="n">
        <f aca="false">IF(ISNUMBER(SEARCH("Copo",$C351)),1,0)</f>
        <v>0</v>
      </c>
    </row>
    <row r="352" customFormat="false" ht="15" hidden="false" customHeight="true" outlineLevel="0" collapsed="false">
      <c r="A352" s="29" t="s">
        <v>216</v>
      </c>
      <c r="B352" s="35" t="str">
        <f aca="false">IF($C352="","",IFERROR(INDEX(Insumos_Categoria,MATCH($C352,Insumos_Ingrediente,0)),""))</f>
        <v>Coberturas (30g)</v>
      </c>
      <c r="C352" s="29" t="s">
        <v>103</v>
      </c>
      <c r="D352" s="36" t="n">
        <v>30</v>
      </c>
      <c r="E352" s="35" t="str">
        <f aca="false">IF($C352="","",IFERROR(INDEX(Insumos_Unidade,MATCH($C352,Insumos_Ingrediente,0)),""))</f>
        <v>g</v>
      </c>
      <c r="F352" s="19" t="n">
        <f aca="false">IFERROR(INDEX(Insumos_CustoUnit,MATCH($C352,Insumos_Ingrediente,0)),0)</f>
        <v>0.01213</v>
      </c>
      <c r="G352" s="19" t="n">
        <f aca="false">$D352*$F352</f>
        <v>0.3639</v>
      </c>
      <c r="H352" s="37" t="n">
        <f aca="false">IF(OR($E352="g",$E352="ml"),$D352,0)</f>
        <v>30</v>
      </c>
      <c r="I352" s="38" t="n">
        <f aca="false">IF($C352="Açaí",1,0)</f>
        <v>0</v>
      </c>
      <c r="J352" s="38" t="n">
        <f aca="false">IF($C352="Banana",1,0)</f>
        <v>0</v>
      </c>
      <c r="K352" s="38" t="n">
        <f aca="false">IF($C352="Whey Protein",1,0)</f>
        <v>0</v>
      </c>
      <c r="L352" s="38" t="n">
        <f aca="false">IF(ISNUMBER(SEARCH("Copo",$C352)),1,0)</f>
        <v>0</v>
      </c>
    </row>
    <row r="353" customFormat="false" ht="15" hidden="false" customHeight="true" outlineLevel="0" collapsed="false">
      <c r="A353" s="29" t="s">
        <v>216</v>
      </c>
      <c r="B353" s="35" t="str">
        <f aca="false">IF($C353="","",IFERROR(INDEX(Insumos_Categoria,MATCH($C353,Insumos_Ingrediente,0)),""))</f>
        <v>Coberturas (30g)</v>
      </c>
      <c r="C353" s="29" t="s">
        <v>114</v>
      </c>
      <c r="D353" s="36" t="n">
        <v>30</v>
      </c>
      <c r="E353" s="35" t="str">
        <f aca="false">IF($C353="","",IFERROR(INDEX(Insumos_Unidade,MATCH($C353,Insumos_Ingrediente,0)),""))</f>
        <v>g</v>
      </c>
      <c r="F353" s="19" t="n">
        <f aca="false">IFERROR(INDEX(Insumos_CustoUnit,MATCH($C353,Insumos_Ingrediente,0)),0)</f>
        <v>0</v>
      </c>
      <c r="G353" s="19" t="n">
        <f aca="false">$D353*$F353</f>
        <v>0</v>
      </c>
      <c r="H353" s="37" t="n">
        <f aca="false">IF(OR($E353="g",$E353="ml"),$D353,0)</f>
        <v>30</v>
      </c>
      <c r="I353" s="38" t="n">
        <f aca="false">IF($C353="Açaí",1,0)</f>
        <v>0</v>
      </c>
      <c r="J353" s="38" t="n">
        <f aca="false">IF($C353="Banana",1,0)</f>
        <v>0</v>
      </c>
      <c r="K353" s="38" t="n">
        <f aca="false">IF($C353="Whey Protein",1,0)</f>
        <v>1</v>
      </c>
      <c r="L353" s="38" t="n">
        <f aca="false">IF(ISNUMBER(SEARCH("Copo",$C353)),1,0)</f>
        <v>0</v>
      </c>
    </row>
    <row r="354" customFormat="false" ht="15" hidden="false" customHeight="true" outlineLevel="0" collapsed="false">
      <c r="A354" s="29" t="s">
        <v>216</v>
      </c>
      <c r="B354" s="35" t="str">
        <f aca="false">IF($C354="","",IFERROR(INDEX(Insumos_Categoria,MATCH($C354,Insumos_Ingrediente,0)),""))</f>
        <v>Embalagens</v>
      </c>
      <c r="C354" s="29" t="s">
        <v>128</v>
      </c>
      <c r="D354" s="36" t="n">
        <v>1</v>
      </c>
      <c r="E354" s="35" t="str">
        <f aca="false">IF($C354="","",IFERROR(INDEX(Insumos_Unidade,MATCH($C354,Insumos_Ingrediente,0)),""))</f>
        <v>un</v>
      </c>
      <c r="F354" s="19" t="n">
        <f aca="false">IFERROR(INDEX(Insumos_CustoUnit,MATCH($C354,Insumos_Ingrediente,0)),0)</f>
        <v>0</v>
      </c>
      <c r="G354" s="19" t="n">
        <f aca="false">$D354*$F354</f>
        <v>0</v>
      </c>
      <c r="H354" s="38" t="n">
        <f aca="false">IF(OR($E354="g",$E354="ml"),$D354,0)</f>
        <v>0</v>
      </c>
      <c r="I354" s="38" t="n">
        <f aca="false">IF($C354="Açaí",1,0)</f>
        <v>0</v>
      </c>
      <c r="J354" s="38" t="n">
        <f aca="false">IF($C354="Banana",1,0)</f>
        <v>0</v>
      </c>
      <c r="K354" s="38" t="n">
        <f aca="false">IF($C354="Whey Protein",1,0)</f>
        <v>0</v>
      </c>
      <c r="L354" s="38" t="n">
        <f aca="false">IF(ISNUMBER(SEARCH("Copo",$C354)),1,0)</f>
        <v>1</v>
      </c>
    </row>
    <row r="355" customFormat="false" ht="15" hidden="false" customHeight="true" outlineLevel="0" collapsed="false">
      <c r="A355" s="29" t="s">
        <v>216</v>
      </c>
      <c r="B355" s="35" t="str">
        <f aca="false">IF($C355="","",IFERROR(INDEX(Insumos_Categoria,MATCH($C355,Insumos_Ingrediente,0)),""))</f>
        <v>Embalagens</v>
      </c>
      <c r="C355" s="29" t="s">
        <v>129</v>
      </c>
      <c r="D355" s="36" t="n">
        <v>1</v>
      </c>
      <c r="E355" s="35" t="str">
        <f aca="false">IF($C355="","",IFERROR(INDEX(Insumos_Unidade,MATCH($C355,Insumos_Ingrediente,0)),""))</f>
        <v>un</v>
      </c>
      <c r="F355" s="19" t="n">
        <f aca="false">IFERROR(INDEX(Insumos_CustoUnit,MATCH($C355,Insumos_Ingrediente,0)),0)</f>
        <v>0</v>
      </c>
      <c r="G355" s="19" t="n">
        <f aca="false">$D355*$F355</f>
        <v>0</v>
      </c>
      <c r="H355" s="38" t="n">
        <f aca="false">IF(OR($E355="g",$E355="ml"),$D355,0)</f>
        <v>0</v>
      </c>
      <c r="I355" s="38" t="n">
        <f aca="false">IF($C355="Açaí",1,0)</f>
        <v>0</v>
      </c>
      <c r="J355" s="38" t="n">
        <f aca="false">IF($C355="Banana",1,0)</f>
        <v>0</v>
      </c>
      <c r="K355" s="38" t="n">
        <f aca="false">IF($C355="Whey Protein",1,0)</f>
        <v>0</v>
      </c>
      <c r="L355" s="38" t="n">
        <f aca="false">IF(ISNUMBER(SEARCH("Copo",$C355)),1,0)</f>
        <v>0</v>
      </c>
    </row>
    <row r="356" customFormat="false" ht="15" hidden="false" customHeight="true" outlineLevel="0" collapsed="false">
      <c r="A356" s="29" t="s">
        <v>216</v>
      </c>
      <c r="B356" s="35" t="str">
        <f aca="false">IF($C356="","",IFERROR(INDEX(Insumos_Categoria,MATCH($C356,Insumos_Ingrediente,0)),""))</f>
        <v>Embalagens</v>
      </c>
      <c r="C356" s="29" t="s">
        <v>130</v>
      </c>
      <c r="D356" s="36" t="n">
        <v>1</v>
      </c>
      <c r="E356" s="35" t="str">
        <f aca="false">IF($C356="","",IFERROR(INDEX(Insumos_Unidade,MATCH($C356,Insumos_Ingrediente,0)),""))</f>
        <v>un</v>
      </c>
      <c r="F356" s="19" t="n">
        <f aca="false">IFERROR(INDEX(Insumos_CustoUnit,MATCH($C356,Insumos_Ingrediente,0)),0)</f>
        <v>0</v>
      </c>
      <c r="G356" s="19" t="n">
        <f aca="false">$D356*$F356</f>
        <v>0</v>
      </c>
      <c r="H356" s="38" t="n">
        <f aca="false">IF(OR($E356="g",$E356="ml"),$D356,0)</f>
        <v>0</v>
      </c>
      <c r="I356" s="38" t="n">
        <f aca="false">IF($C356="Açaí",1,0)</f>
        <v>0</v>
      </c>
      <c r="J356" s="38" t="n">
        <f aca="false">IF($C356="Banana",1,0)</f>
        <v>0</v>
      </c>
      <c r="K356" s="38" t="n">
        <f aca="false">IF($C356="Whey Protein",1,0)</f>
        <v>0</v>
      </c>
      <c r="L356" s="38" t="n">
        <f aca="false">IF(ISNUMBER(SEARCH("Copo",$C356)),1,0)</f>
        <v>0</v>
      </c>
    </row>
    <row r="357" customFormat="false" ht="15" hidden="false" customHeight="true" outlineLevel="0" collapsed="false">
      <c r="A357" s="29" t="s">
        <v>216</v>
      </c>
      <c r="B357" s="35" t="str">
        <f aca="false">IF($C357="","",IFERROR(INDEX(Insumos_Categoria,MATCH($C357,Insumos_Ingrediente,0)),""))</f>
        <v>Consumíveis</v>
      </c>
      <c r="C357" s="29" t="s">
        <v>143</v>
      </c>
      <c r="D357" s="36" t="n">
        <v>1</v>
      </c>
      <c r="E357" s="35" t="str">
        <f aca="false">IF($C357="","",IFERROR(INDEX(Insumos_Unidade,MATCH($C357,Insumos_Ingrediente,0)),""))</f>
        <v>un</v>
      </c>
      <c r="F357" s="19" t="n">
        <f aca="false">IFERROR(INDEX(Insumos_CustoUnit,MATCH($C357,Insumos_Ingrediente,0)),0)</f>
        <v>0</v>
      </c>
      <c r="G357" s="19" t="n">
        <f aca="false">$D357*$F357</f>
        <v>0</v>
      </c>
      <c r="H357" s="38" t="n">
        <f aca="false">IF(OR($E357="g",$E357="ml"),$D357,0)</f>
        <v>0</v>
      </c>
      <c r="I357" s="38" t="n">
        <f aca="false">IF($C357="Açaí",1,0)</f>
        <v>0</v>
      </c>
      <c r="J357" s="38" t="n">
        <f aca="false">IF($C357="Banana",1,0)</f>
        <v>0</v>
      </c>
      <c r="K357" s="38" t="n">
        <f aca="false">IF($C357="Whey Protein",1,0)</f>
        <v>0</v>
      </c>
      <c r="L357" s="38" t="n">
        <f aca="false">IF(ISNUMBER(SEARCH("Copo",$C357)),1,0)</f>
        <v>0</v>
      </c>
    </row>
    <row r="358" customFormat="false" ht="15" hidden="false" customHeight="true" outlineLevel="0" collapsed="false">
      <c r="A358" s="29" t="s">
        <v>145</v>
      </c>
      <c r="B358" s="35" t="str">
        <f aca="false">IF($C358="","",IFERROR(INDEX(Insumos_Categoria,MATCH($C358,Insumos_Ingrediente,0)),""))</f>
        <v>Bebidas</v>
      </c>
      <c r="C358" s="29" t="s">
        <v>145</v>
      </c>
      <c r="D358" s="36" t="n">
        <v>1</v>
      </c>
      <c r="E358" s="35" t="str">
        <f aca="false">IF($C358="","",IFERROR(INDEX(Insumos_Unidade,MATCH($C358,Insumos_Ingrediente,0)),""))</f>
        <v>un</v>
      </c>
      <c r="F358" s="19" t="n">
        <f aca="false">IFERROR(INDEX(Insumos_CustoUnit,MATCH($C358,Insumos_Ingrediente,0)),0)</f>
        <v>0</v>
      </c>
      <c r="G358" s="19" t="n">
        <f aca="false">$D358*$F358</f>
        <v>0</v>
      </c>
      <c r="H358" s="38" t="n">
        <f aca="false">IF(OR($E358="g",$E358="ml"),$D358,0)</f>
        <v>0</v>
      </c>
      <c r="I358" s="38" t="n">
        <f aca="false">IF($C358="Açaí",1,0)</f>
        <v>0</v>
      </c>
      <c r="J358" s="38" t="n">
        <f aca="false">IF($C358="Banana",1,0)</f>
        <v>0</v>
      </c>
      <c r="K358" s="38" t="n">
        <f aca="false">IF($C358="Whey Protein",1,0)</f>
        <v>0</v>
      </c>
      <c r="L358" s="38" t="n">
        <f aca="false">IF(ISNUMBER(SEARCH("Copo",$C358)),1,0)</f>
        <v>0</v>
      </c>
    </row>
    <row r="359" customFormat="false" ht="15" hidden="false" customHeight="true" outlineLevel="0" collapsed="false">
      <c r="A359" s="29" t="s">
        <v>145</v>
      </c>
      <c r="B359" s="35" t="str">
        <f aca="false">IF($C359="","",IFERROR(INDEX(Insumos_Categoria,MATCH($C359,Insumos_Ingrediente,0)),""))</f>
        <v>Consumíveis</v>
      </c>
      <c r="C359" s="29" t="s">
        <v>143</v>
      </c>
      <c r="D359" s="36" t="n">
        <v>1</v>
      </c>
      <c r="E359" s="35" t="str">
        <f aca="false">IF($C359="","",IFERROR(INDEX(Insumos_Unidade,MATCH($C359,Insumos_Ingrediente,0)),""))</f>
        <v>un</v>
      </c>
      <c r="F359" s="19" t="n">
        <f aca="false">IFERROR(INDEX(Insumos_CustoUnit,MATCH($C359,Insumos_Ingrediente,0)),0)</f>
        <v>0</v>
      </c>
      <c r="G359" s="19" t="n">
        <f aca="false">$D359*$F359</f>
        <v>0</v>
      </c>
      <c r="H359" s="38" t="n">
        <f aca="false">IF(OR($E359="g",$E359="ml"),$D359,0)</f>
        <v>0</v>
      </c>
      <c r="I359" s="38" t="n">
        <f aca="false">IF($C359="Açaí",1,0)</f>
        <v>0</v>
      </c>
      <c r="J359" s="38" t="n">
        <f aca="false">IF($C359="Banana",1,0)</f>
        <v>0</v>
      </c>
      <c r="K359" s="38" t="n">
        <f aca="false">IF($C359="Whey Protein",1,0)</f>
        <v>0</v>
      </c>
      <c r="L359" s="38" t="n">
        <f aca="false">IF(ISNUMBER(SEARCH("Copo",$C359)),1,0)</f>
        <v>0</v>
      </c>
    </row>
    <row r="360" customFormat="false" ht="15" hidden="false" customHeight="true" outlineLevel="0" collapsed="false">
      <c r="A360" s="29" t="s">
        <v>147</v>
      </c>
      <c r="B360" s="35" t="str">
        <f aca="false">IF($C360="","",IFERROR(INDEX(Insumos_Categoria,MATCH($C360,Insumos_Ingrediente,0)),""))</f>
        <v>Bebidas</v>
      </c>
      <c r="C360" s="29" t="s">
        <v>147</v>
      </c>
      <c r="D360" s="36" t="n">
        <v>1</v>
      </c>
      <c r="E360" s="35" t="str">
        <f aca="false">IF($C360="","",IFERROR(INDEX(Insumos_Unidade,MATCH($C360,Insumos_Ingrediente,0)),""))</f>
        <v>un</v>
      </c>
      <c r="F360" s="19" t="n">
        <f aca="false">IFERROR(INDEX(Insumos_CustoUnit,MATCH($C360,Insumos_Ingrediente,0)),0)</f>
        <v>0</v>
      </c>
      <c r="G360" s="19" t="n">
        <f aca="false">$D360*$F360</f>
        <v>0</v>
      </c>
      <c r="H360" s="38" t="n">
        <f aca="false">IF(OR($E360="g",$E360="ml"),$D360,0)</f>
        <v>0</v>
      </c>
      <c r="I360" s="38" t="n">
        <f aca="false">IF($C360="Açaí",1,0)</f>
        <v>0</v>
      </c>
      <c r="J360" s="38" t="n">
        <f aca="false">IF($C360="Banana",1,0)</f>
        <v>0</v>
      </c>
      <c r="K360" s="38" t="n">
        <f aca="false">IF($C360="Whey Protein",1,0)</f>
        <v>0</v>
      </c>
      <c r="L360" s="38" t="n">
        <f aca="false">IF(ISNUMBER(SEARCH("Copo",$C360)),1,0)</f>
        <v>0</v>
      </c>
    </row>
    <row r="361" customFormat="false" ht="15" hidden="false" customHeight="true" outlineLevel="0" collapsed="false">
      <c r="A361" s="29" t="s">
        <v>147</v>
      </c>
      <c r="B361" s="35" t="str">
        <f aca="false">IF($C361="","",IFERROR(INDEX(Insumos_Categoria,MATCH($C361,Insumos_Ingrediente,0)),""))</f>
        <v>Consumíveis</v>
      </c>
      <c r="C361" s="29" t="s">
        <v>143</v>
      </c>
      <c r="D361" s="36" t="n">
        <v>1</v>
      </c>
      <c r="E361" s="35" t="str">
        <f aca="false">IF($C361="","",IFERROR(INDEX(Insumos_Unidade,MATCH($C361,Insumos_Ingrediente,0)),""))</f>
        <v>un</v>
      </c>
      <c r="F361" s="19" t="n">
        <f aca="false">IFERROR(INDEX(Insumos_CustoUnit,MATCH($C361,Insumos_Ingrediente,0)),0)</f>
        <v>0</v>
      </c>
      <c r="G361" s="19" t="n">
        <f aca="false">$D361*$F361</f>
        <v>0</v>
      </c>
      <c r="H361" s="38" t="n">
        <f aca="false">IF(OR($E361="g",$E361="ml"),$D361,0)</f>
        <v>0</v>
      </c>
      <c r="I361" s="38" t="n">
        <f aca="false">IF($C361="Açaí",1,0)</f>
        <v>0</v>
      </c>
      <c r="J361" s="38" t="n">
        <f aca="false">IF($C361="Banana",1,0)</f>
        <v>0</v>
      </c>
      <c r="K361" s="38" t="n">
        <f aca="false">IF($C361="Whey Protein",1,0)</f>
        <v>0</v>
      </c>
      <c r="L361" s="38" t="n">
        <f aca="false">IF(ISNUMBER(SEARCH("Copo",$C361)),1,0)</f>
        <v>0</v>
      </c>
    </row>
    <row r="362" customFormat="false" ht="15" hidden="false" customHeight="true" outlineLevel="0" collapsed="false">
      <c r="A362" s="29" t="s">
        <v>148</v>
      </c>
      <c r="B362" s="35" t="str">
        <f aca="false">IF($C362="","",IFERROR(INDEX(Insumos_Categoria,MATCH($C362,Insumos_Ingrediente,0)),""))</f>
        <v>Bebidas</v>
      </c>
      <c r="C362" s="29" t="s">
        <v>148</v>
      </c>
      <c r="D362" s="36" t="n">
        <v>1</v>
      </c>
      <c r="E362" s="35" t="str">
        <f aca="false">IF($C362="","",IFERROR(INDEX(Insumos_Unidade,MATCH($C362,Insumos_Ingrediente,0)),""))</f>
        <v>un</v>
      </c>
      <c r="F362" s="19" t="n">
        <f aca="false">IFERROR(INDEX(Insumos_CustoUnit,MATCH($C362,Insumos_Ingrediente,0)),0)</f>
        <v>0</v>
      </c>
      <c r="G362" s="19" t="n">
        <f aca="false">$D362*$F362</f>
        <v>0</v>
      </c>
      <c r="H362" s="38" t="n">
        <f aca="false">IF(OR($E362="g",$E362="ml"),$D362,0)</f>
        <v>0</v>
      </c>
      <c r="I362" s="38" t="n">
        <f aca="false">IF($C362="Açaí",1,0)</f>
        <v>0</v>
      </c>
      <c r="J362" s="38" t="n">
        <f aca="false">IF($C362="Banana",1,0)</f>
        <v>0</v>
      </c>
      <c r="K362" s="38" t="n">
        <f aca="false">IF($C362="Whey Protein",1,0)</f>
        <v>0</v>
      </c>
      <c r="L362" s="38" t="n">
        <f aca="false">IF(ISNUMBER(SEARCH("Copo",$C362)),1,0)</f>
        <v>0</v>
      </c>
    </row>
    <row r="363" customFormat="false" ht="15" hidden="false" customHeight="true" outlineLevel="0" collapsed="false">
      <c r="A363" s="29" t="s">
        <v>148</v>
      </c>
      <c r="B363" s="35" t="str">
        <f aca="false">IF($C363="","",IFERROR(INDEX(Insumos_Categoria,MATCH($C363,Insumos_Ingrediente,0)),""))</f>
        <v>Consumíveis</v>
      </c>
      <c r="C363" s="29" t="s">
        <v>143</v>
      </c>
      <c r="D363" s="36" t="n">
        <v>1</v>
      </c>
      <c r="E363" s="35" t="str">
        <f aca="false">IF($C363="","",IFERROR(INDEX(Insumos_Unidade,MATCH($C363,Insumos_Ingrediente,0)),""))</f>
        <v>un</v>
      </c>
      <c r="F363" s="19" t="n">
        <f aca="false">IFERROR(INDEX(Insumos_CustoUnit,MATCH($C363,Insumos_Ingrediente,0)),0)</f>
        <v>0</v>
      </c>
      <c r="G363" s="19" t="n">
        <f aca="false">$D363*$F363</f>
        <v>0</v>
      </c>
      <c r="H363" s="38" t="n">
        <f aca="false">IF(OR($E363="g",$E363="ml"),$D363,0)</f>
        <v>0</v>
      </c>
      <c r="I363" s="38" t="n">
        <f aca="false">IF($C363="Açaí",1,0)</f>
        <v>0</v>
      </c>
      <c r="J363" s="38" t="n">
        <f aca="false">IF($C363="Banana",1,0)</f>
        <v>0</v>
      </c>
      <c r="K363" s="38" t="n">
        <f aca="false">IF($C363="Whey Protein",1,0)</f>
        <v>0</v>
      </c>
      <c r="L363" s="38" t="n">
        <f aca="false">IF(ISNUMBER(SEARCH("Copo",$C363)),1,0)</f>
        <v>0</v>
      </c>
    </row>
    <row r="364" customFormat="false" ht="15" hidden="false" customHeight="true" outlineLevel="0" collapsed="false">
      <c r="A364" s="29" t="s">
        <v>149</v>
      </c>
      <c r="B364" s="35" t="str">
        <f aca="false">IF($C364="","",IFERROR(INDEX(Insumos_Categoria,MATCH($C364,Insumos_Ingrediente,0)),""))</f>
        <v>Bebidas</v>
      </c>
      <c r="C364" s="29" t="s">
        <v>149</v>
      </c>
      <c r="D364" s="36" t="n">
        <v>1</v>
      </c>
      <c r="E364" s="35" t="str">
        <f aca="false">IF($C364="","",IFERROR(INDEX(Insumos_Unidade,MATCH($C364,Insumos_Ingrediente,0)),""))</f>
        <v>un</v>
      </c>
      <c r="F364" s="19" t="n">
        <f aca="false">IFERROR(INDEX(Insumos_CustoUnit,MATCH($C364,Insumos_Ingrediente,0)),0)</f>
        <v>0</v>
      </c>
      <c r="G364" s="19" t="n">
        <f aca="false">$D364*$F364</f>
        <v>0</v>
      </c>
      <c r="H364" s="38" t="n">
        <f aca="false">IF(OR($E364="g",$E364="ml"),$D364,0)</f>
        <v>0</v>
      </c>
      <c r="I364" s="38" t="n">
        <f aca="false">IF($C364="Açaí",1,0)</f>
        <v>0</v>
      </c>
      <c r="J364" s="38" t="n">
        <f aca="false">IF($C364="Banana",1,0)</f>
        <v>0</v>
      </c>
      <c r="K364" s="38" t="n">
        <f aca="false">IF($C364="Whey Protein",1,0)</f>
        <v>0</v>
      </c>
      <c r="L364" s="38" t="n">
        <f aca="false">IF(ISNUMBER(SEARCH("Copo",$C364)),1,0)</f>
        <v>0</v>
      </c>
    </row>
    <row r="365" customFormat="false" ht="15" hidden="false" customHeight="true" outlineLevel="0" collapsed="false">
      <c r="A365" s="29" t="s">
        <v>149</v>
      </c>
      <c r="B365" s="35" t="str">
        <f aca="false">IF($C365="","",IFERROR(INDEX(Insumos_Categoria,MATCH($C365,Insumos_Ingrediente,0)),""))</f>
        <v>Consumíveis</v>
      </c>
      <c r="C365" s="29" t="s">
        <v>143</v>
      </c>
      <c r="D365" s="36" t="n">
        <v>1</v>
      </c>
      <c r="E365" s="35" t="str">
        <f aca="false">IF($C365="","",IFERROR(INDEX(Insumos_Unidade,MATCH($C365,Insumos_Ingrediente,0)),""))</f>
        <v>un</v>
      </c>
      <c r="F365" s="19" t="n">
        <f aca="false">IFERROR(INDEX(Insumos_CustoUnit,MATCH($C365,Insumos_Ingrediente,0)),0)</f>
        <v>0</v>
      </c>
      <c r="G365" s="19" t="n">
        <f aca="false">$D365*$F365</f>
        <v>0</v>
      </c>
      <c r="H365" s="38" t="n">
        <f aca="false">IF(OR($E365="g",$E365="ml"),$D365,0)</f>
        <v>0</v>
      </c>
      <c r="I365" s="38" t="n">
        <f aca="false">IF($C365="Açaí",1,0)</f>
        <v>0</v>
      </c>
      <c r="J365" s="38" t="n">
        <f aca="false">IF($C365="Banana",1,0)</f>
        <v>0</v>
      </c>
      <c r="K365" s="38" t="n">
        <f aca="false">IF($C365="Whey Protein",1,0)</f>
        <v>0</v>
      </c>
      <c r="L365" s="38" t="n">
        <f aca="false">IF(ISNUMBER(SEARCH("Copo",$C365)),1,0)</f>
        <v>0</v>
      </c>
    </row>
    <row r="366" customFormat="false" ht="15" hidden="false" customHeight="true" outlineLevel="0" collapsed="false">
      <c r="A366" s="29" t="s">
        <v>150</v>
      </c>
      <c r="B366" s="35" t="str">
        <f aca="false">IF($C366="","",IFERROR(INDEX(Insumos_Categoria,MATCH($C366,Insumos_Ingrediente,0)),""))</f>
        <v>Bebidas</v>
      </c>
      <c r="C366" s="29" t="s">
        <v>150</v>
      </c>
      <c r="D366" s="36" t="n">
        <v>1</v>
      </c>
      <c r="E366" s="35" t="str">
        <f aca="false">IF($C366="","",IFERROR(INDEX(Insumos_Unidade,MATCH($C366,Insumos_Ingrediente,0)),""))</f>
        <v>un</v>
      </c>
      <c r="F366" s="19" t="n">
        <f aca="false">IFERROR(INDEX(Insumos_CustoUnit,MATCH($C366,Insumos_Ingrediente,0)),0)</f>
        <v>0</v>
      </c>
      <c r="G366" s="19" t="n">
        <f aca="false">$D366*$F366</f>
        <v>0</v>
      </c>
      <c r="H366" s="38" t="n">
        <f aca="false">IF(OR($E366="g",$E366="ml"),$D366,0)</f>
        <v>0</v>
      </c>
      <c r="I366" s="38" t="n">
        <f aca="false">IF($C366="Açaí",1,0)</f>
        <v>0</v>
      </c>
      <c r="J366" s="38" t="n">
        <f aca="false">IF($C366="Banana",1,0)</f>
        <v>0</v>
      </c>
      <c r="K366" s="38" t="n">
        <f aca="false">IF($C366="Whey Protein",1,0)</f>
        <v>0</v>
      </c>
      <c r="L366" s="38" t="n">
        <f aca="false">IF(ISNUMBER(SEARCH("Copo",$C366)),1,0)</f>
        <v>0</v>
      </c>
    </row>
    <row r="367" customFormat="false" ht="15" hidden="false" customHeight="true" outlineLevel="0" collapsed="false">
      <c r="A367" s="29" t="s">
        <v>150</v>
      </c>
      <c r="B367" s="35" t="str">
        <f aca="false">IF($C367="","",IFERROR(INDEX(Insumos_Categoria,MATCH($C367,Insumos_Ingrediente,0)),""))</f>
        <v>Consumíveis</v>
      </c>
      <c r="C367" s="29" t="s">
        <v>143</v>
      </c>
      <c r="D367" s="36" t="n">
        <v>1</v>
      </c>
      <c r="E367" s="35" t="str">
        <f aca="false">IF($C367="","",IFERROR(INDEX(Insumos_Unidade,MATCH($C367,Insumos_Ingrediente,0)),""))</f>
        <v>un</v>
      </c>
      <c r="F367" s="19" t="n">
        <f aca="false">IFERROR(INDEX(Insumos_CustoUnit,MATCH($C367,Insumos_Ingrediente,0)),0)</f>
        <v>0</v>
      </c>
      <c r="G367" s="19" t="n">
        <f aca="false">$D367*$F367</f>
        <v>0</v>
      </c>
      <c r="H367" s="38" t="n">
        <f aca="false">IF(OR($E367="g",$E367="ml"),$D367,0)</f>
        <v>0</v>
      </c>
      <c r="I367" s="38" t="n">
        <f aca="false">IF($C367="Açaí",1,0)</f>
        <v>0</v>
      </c>
      <c r="J367" s="38" t="n">
        <f aca="false">IF($C367="Banana",1,0)</f>
        <v>0</v>
      </c>
      <c r="K367" s="38" t="n">
        <f aca="false">IF($C367="Whey Protein",1,0)</f>
        <v>0</v>
      </c>
      <c r="L367" s="38" t="n">
        <f aca="false">IF(ISNUMBER(SEARCH("Copo",$C367)),1,0)</f>
        <v>0</v>
      </c>
    </row>
    <row r="368" customFormat="false" ht="15" hidden="false" customHeight="true" outlineLevel="0" collapsed="false">
      <c r="A368" s="29" t="s">
        <v>151</v>
      </c>
      <c r="B368" s="35" t="str">
        <f aca="false">IF($C368="","",IFERROR(INDEX(Insumos_Categoria,MATCH($C368,Insumos_Ingrediente,0)),""))</f>
        <v>Bebidas</v>
      </c>
      <c r="C368" s="29" t="s">
        <v>151</v>
      </c>
      <c r="D368" s="36" t="n">
        <v>1</v>
      </c>
      <c r="E368" s="35" t="str">
        <f aca="false">IF($C368="","",IFERROR(INDEX(Insumos_Unidade,MATCH($C368,Insumos_Ingrediente,0)),""))</f>
        <v>un</v>
      </c>
      <c r="F368" s="19" t="n">
        <f aca="false">IFERROR(INDEX(Insumos_CustoUnit,MATCH($C368,Insumos_Ingrediente,0)),0)</f>
        <v>0</v>
      </c>
      <c r="G368" s="19" t="n">
        <f aca="false">$D368*$F368</f>
        <v>0</v>
      </c>
      <c r="H368" s="38" t="n">
        <f aca="false">IF(OR($E368="g",$E368="ml"),$D368,0)</f>
        <v>0</v>
      </c>
      <c r="I368" s="38" t="n">
        <f aca="false">IF($C368="Açaí",1,0)</f>
        <v>0</v>
      </c>
      <c r="J368" s="38" t="n">
        <f aca="false">IF($C368="Banana",1,0)</f>
        <v>0</v>
      </c>
      <c r="K368" s="38" t="n">
        <f aca="false">IF($C368="Whey Protein",1,0)</f>
        <v>0</v>
      </c>
      <c r="L368" s="38" t="n">
        <f aca="false">IF(ISNUMBER(SEARCH("Copo",$C368)),1,0)</f>
        <v>0</v>
      </c>
    </row>
    <row r="369" customFormat="false" ht="15" hidden="false" customHeight="true" outlineLevel="0" collapsed="false">
      <c r="A369" s="29" t="s">
        <v>151</v>
      </c>
      <c r="B369" s="35" t="str">
        <f aca="false">IF($C369="","",IFERROR(INDEX(Insumos_Categoria,MATCH($C369,Insumos_Ingrediente,0)),""))</f>
        <v>Consumíveis</v>
      </c>
      <c r="C369" s="29" t="s">
        <v>143</v>
      </c>
      <c r="D369" s="36" t="n">
        <v>1</v>
      </c>
      <c r="E369" s="35" t="str">
        <f aca="false">IF($C369="","",IFERROR(INDEX(Insumos_Unidade,MATCH($C369,Insumos_Ingrediente,0)),""))</f>
        <v>un</v>
      </c>
      <c r="F369" s="19" t="n">
        <f aca="false">IFERROR(INDEX(Insumos_CustoUnit,MATCH($C369,Insumos_Ingrediente,0)),0)</f>
        <v>0</v>
      </c>
      <c r="G369" s="19" t="n">
        <f aca="false">$D369*$F369</f>
        <v>0</v>
      </c>
      <c r="H369" s="38" t="n">
        <f aca="false">IF(OR($E369="g",$E369="ml"),$D369,0)</f>
        <v>0</v>
      </c>
      <c r="I369" s="38" t="n">
        <f aca="false">IF($C369="Açaí",1,0)</f>
        <v>0</v>
      </c>
      <c r="J369" s="38" t="n">
        <f aca="false">IF($C369="Banana",1,0)</f>
        <v>0</v>
      </c>
      <c r="K369" s="38" t="n">
        <f aca="false">IF($C369="Whey Protein",1,0)</f>
        <v>0</v>
      </c>
      <c r="L369" s="38" t="n">
        <f aca="false">IF(ISNUMBER(SEARCH("Copo",$C369)),1,0)</f>
        <v>0</v>
      </c>
    </row>
    <row r="370" customFormat="false" ht="15" hidden="false" customHeight="true" outlineLevel="0" collapsed="false">
      <c r="A370" s="29" t="s">
        <v>152</v>
      </c>
      <c r="B370" s="35" t="str">
        <f aca="false">IF($C370="","",IFERROR(INDEX(Insumos_Categoria,MATCH($C370,Insumos_Ingrediente,0)),""))</f>
        <v>Bebidas</v>
      </c>
      <c r="C370" s="29" t="s">
        <v>152</v>
      </c>
      <c r="D370" s="36" t="n">
        <v>1</v>
      </c>
      <c r="E370" s="35" t="str">
        <f aca="false">IF($C370="","",IFERROR(INDEX(Insumos_Unidade,MATCH($C370,Insumos_Ingrediente,0)),""))</f>
        <v>un</v>
      </c>
      <c r="F370" s="19" t="n">
        <f aca="false">IFERROR(INDEX(Insumos_CustoUnit,MATCH($C370,Insumos_Ingrediente,0)),0)</f>
        <v>0</v>
      </c>
      <c r="G370" s="19" t="n">
        <f aca="false">$D370*$F370</f>
        <v>0</v>
      </c>
      <c r="H370" s="38" t="n">
        <f aca="false">IF(OR($E370="g",$E370="ml"),$D370,0)</f>
        <v>0</v>
      </c>
      <c r="I370" s="38" t="n">
        <f aca="false">IF($C370="Açaí",1,0)</f>
        <v>0</v>
      </c>
      <c r="J370" s="38" t="n">
        <f aca="false">IF($C370="Banana",1,0)</f>
        <v>0</v>
      </c>
      <c r="K370" s="38" t="n">
        <f aca="false">IF($C370="Whey Protein",1,0)</f>
        <v>0</v>
      </c>
      <c r="L370" s="38" t="n">
        <f aca="false">IF(ISNUMBER(SEARCH("Copo",$C370)),1,0)</f>
        <v>0</v>
      </c>
    </row>
    <row r="371" customFormat="false" ht="15" hidden="false" customHeight="true" outlineLevel="0" collapsed="false">
      <c r="A371" s="29" t="s">
        <v>152</v>
      </c>
      <c r="B371" s="35" t="str">
        <f aca="false">IF($C371="","",IFERROR(INDEX(Insumos_Categoria,MATCH($C371,Insumos_Ingrediente,0)),""))</f>
        <v>Consumíveis</v>
      </c>
      <c r="C371" s="29" t="s">
        <v>143</v>
      </c>
      <c r="D371" s="36" t="n">
        <v>1</v>
      </c>
      <c r="E371" s="35" t="str">
        <f aca="false">IF($C371="","",IFERROR(INDEX(Insumos_Unidade,MATCH($C371,Insumos_Ingrediente,0)),""))</f>
        <v>un</v>
      </c>
      <c r="F371" s="19" t="n">
        <f aca="false">IFERROR(INDEX(Insumos_CustoUnit,MATCH($C371,Insumos_Ingrediente,0)),0)</f>
        <v>0</v>
      </c>
      <c r="G371" s="19" t="n">
        <f aca="false">$D371*$F371</f>
        <v>0</v>
      </c>
      <c r="H371" s="38" t="n">
        <f aca="false">IF(OR($E371="g",$E371="ml"),$D371,0)</f>
        <v>0</v>
      </c>
      <c r="I371" s="38" t="n">
        <f aca="false">IF($C371="Açaí",1,0)</f>
        <v>0</v>
      </c>
      <c r="J371" s="38" t="n">
        <f aca="false">IF($C371="Banana",1,0)</f>
        <v>0</v>
      </c>
      <c r="K371" s="38" t="n">
        <f aca="false">IF($C371="Whey Protein",1,0)</f>
        <v>0</v>
      </c>
      <c r="L371" s="38" t="n">
        <f aca="false">IF(ISNUMBER(SEARCH("Copo",$C371)),1,0)</f>
        <v>0</v>
      </c>
    </row>
    <row r="372" customFormat="false" ht="15" hidden="false" customHeight="true" outlineLevel="0" collapsed="false">
      <c r="A372" s="29" t="s">
        <v>153</v>
      </c>
      <c r="B372" s="35" t="str">
        <f aca="false">IF($C372="","",IFERROR(INDEX(Insumos_Categoria,MATCH($C372,Insumos_Ingrediente,0)),""))</f>
        <v>Bebidas</v>
      </c>
      <c r="C372" s="29" t="s">
        <v>153</v>
      </c>
      <c r="D372" s="36" t="n">
        <v>1</v>
      </c>
      <c r="E372" s="35" t="str">
        <f aca="false">IF($C372="","",IFERROR(INDEX(Insumos_Unidade,MATCH($C372,Insumos_Ingrediente,0)),""))</f>
        <v>un</v>
      </c>
      <c r="F372" s="19" t="n">
        <f aca="false">IFERROR(INDEX(Insumos_CustoUnit,MATCH($C372,Insumos_Ingrediente,0)),0)</f>
        <v>0</v>
      </c>
      <c r="G372" s="19" t="n">
        <f aca="false">$D372*$F372</f>
        <v>0</v>
      </c>
      <c r="H372" s="38" t="n">
        <f aca="false">IF(OR($E372="g",$E372="ml"),$D372,0)</f>
        <v>0</v>
      </c>
      <c r="I372" s="38" t="n">
        <f aca="false">IF($C372="Açaí",1,0)</f>
        <v>0</v>
      </c>
      <c r="J372" s="38" t="n">
        <f aca="false">IF($C372="Banana",1,0)</f>
        <v>0</v>
      </c>
      <c r="K372" s="38" t="n">
        <f aca="false">IF($C372="Whey Protein",1,0)</f>
        <v>0</v>
      </c>
      <c r="L372" s="38" t="n">
        <f aca="false">IF(ISNUMBER(SEARCH("Copo",$C372)),1,0)</f>
        <v>0</v>
      </c>
    </row>
    <row r="373" customFormat="false" ht="15" hidden="false" customHeight="true" outlineLevel="0" collapsed="false">
      <c r="A373" s="29" t="s">
        <v>153</v>
      </c>
      <c r="B373" s="35" t="str">
        <f aca="false">IF($C373="","",IFERROR(INDEX(Insumos_Categoria,MATCH($C373,Insumos_Ingrediente,0)),""))</f>
        <v>Consumíveis</v>
      </c>
      <c r="C373" s="29" t="s">
        <v>143</v>
      </c>
      <c r="D373" s="36" t="n">
        <v>1</v>
      </c>
      <c r="E373" s="35" t="str">
        <f aca="false">IF($C373="","",IFERROR(INDEX(Insumos_Unidade,MATCH($C373,Insumos_Ingrediente,0)),""))</f>
        <v>un</v>
      </c>
      <c r="F373" s="19" t="n">
        <f aca="false">IFERROR(INDEX(Insumos_CustoUnit,MATCH($C373,Insumos_Ingrediente,0)),0)</f>
        <v>0</v>
      </c>
      <c r="G373" s="19" t="n">
        <f aca="false">$D373*$F373</f>
        <v>0</v>
      </c>
      <c r="H373" s="38" t="n">
        <f aca="false">IF(OR($E373="g",$E373="ml"),$D373,0)</f>
        <v>0</v>
      </c>
      <c r="I373" s="38" t="n">
        <f aca="false">IF($C373="Açaí",1,0)</f>
        <v>0</v>
      </c>
      <c r="J373" s="38" t="n">
        <f aca="false">IF($C373="Banana",1,0)</f>
        <v>0</v>
      </c>
      <c r="K373" s="38" t="n">
        <f aca="false">IF($C373="Whey Protein",1,0)</f>
        <v>0</v>
      </c>
      <c r="L373" s="38" t="n">
        <f aca="false">IF(ISNUMBER(SEARCH("Copo",$C373)),1,0)</f>
        <v>0</v>
      </c>
    </row>
    <row r="374" customFormat="false" ht="15" hidden="false" customHeight="true" outlineLevel="0" collapsed="false">
      <c r="A374" s="33"/>
      <c r="B374" s="35" t="str">
        <f aca="false">IF($C374="","",IFERROR(INDEX(Insumos_Categoria,MATCH($C374,Insumos_Ingrediente,0)),""))</f>
        <v/>
      </c>
      <c r="C374" s="33"/>
      <c r="D374" s="33"/>
      <c r="E374" s="35" t="str">
        <f aca="false">IF($C374="","",IFERROR(INDEX(Insumos_Unidade,MATCH($C374,Insumos_Ingrediente,0)),""))</f>
        <v/>
      </c>
      <c r="F374" s="19" t="n">
        <f aca="false">IFERROR(INDEX(Insumos_CustoUnit,MATCH($C374,Insumos_Ingrediente,0)),0)</f>
        <v>0</v>
      </c>
      <c r="G374" s="19" t="n">
        <f aca="false">$D374*$F374</f>
        <v>0</v>
      </c>
      <c r="H374" s="38" t="n">
        <f aca="false">IF(OR($E374="g",$E374="ml"),$D374,0)</f>
        <v>0</v>
      </c>
      <c r="I374" s="38" t="n">
        <f aca="false">IF($C374="Açaí",1,0)</f>
        <v>0</v>
      </c>
      <c r="J374" s="38" t="n">
        <f aca="false">IF($C374="Banana",1,0)</f>
        <v>0</v>
      </c>
      <c r="K374" s="38" t="n">
        <f aca="false">IF($C374="Whey Protein",1,0)</f>
        <v>0</v>
      </c>
      <c r="L374" s="38" t="n">
        <f aca="false">IF(ISNUMBER(SEARCH("Copo",$C374)),1,0)</f>
        <v>0</v>
      </c>
    </row>
    <row r="375" customFormat="false" ht="15" hidden="false" customHeight="true" outlineLevel="0" collapsed="false">
      <c r="A375" s="33"/>
      <c r="B375" s="35" t="str">
        <f aca="false">IF($C375="","",IFERROR(INDEX(Insumos_Categoria,MATCH($C375,Insumos_Ingrediente,0)),""))</f>
        <v/>
      </c>
      <c r="C375" s="33"/>
      <c r="D375" s="33"/>
      <c r="E375" s="35" t="str">
        <f aca="false">IF($C375="","",IFERROR(INDEX(Insumos_Unidade,MATCH($C375,Insumos_Ingrediente,0)),""))</f>
        <v/>
      </c>
      <c r="F375" s="19" t="n">
        <f aca="false">IFERROR(INDEX(Insumos_CustoUnit,MATCH($C375,Insumos_Ingrediente,0)),0)</f>
        <v>0</v>
      </c>
      <c r="G375" s="19" t="n">
        <f aca="false">$D375*$F375</f>
        <v>0</v>
      </c>
      <c r="H375" s="38" t="n">
        <f aca="false">IF(OR($E375="g",$E375="ml"),$D375,0)</f>
        <v>0</v>
      </c>
      <c r="I375" s="38" t="n">
        <f aca="false">IF($C375="Açaí",1,0)</f>
        <v>0</v>
      </c>
      <c r="J375" s="38" t="n">
        <f aca="false">IF($C375="Banana",1,0)</f>
        <v>0</v>
      </c>
      <c r="K375" s="38" t="n">
        <f aca="false">IF($C375="Whey Protein",1,0)</f>
        <v>0</v>
      </c>
      <c r="L375" s="38" t="n">
        <f aca="false">IF(ISNUMBER(SEARCH("Copo",$C375)),1,0)</f>
        <v>0</v>
      </c>
    </row>
    <row r="376" customFormat="false" ht="15" hidden="false" customHeight="true" outlineLevel="0" collapsed="false">
      <c r="A376" s="33"/>
      <c r="B376" s="35" t="str">
        <f aca="false">IF($C376="","",IFERROR(INDEX(Insumos_Categoria,MATCH($C376,Insumos_Ingrediente,0)),""))</f>
        <v/>
      </c>
      <c r="C376" s="33"/>
      <c r="D376" s="33"/>
      <c r="E376" s="35" t="str">
        <f aca="false">IF($C376="","",IFERROR(INDEX(Insumos_Unidade,MATCH($C376,Insumos_Ingrediente,0)),""))</f>
        <v/>
      </c>
      <c r="F376" s="19" t="n">
        <f aca="false">IFERROR(INDEX(Insumos_CustoUnit,MATCH($C376,Insumos_Ingrediente,0)),0)</f>
        <v>0</v>
      </c>
      <c r="G376" s="19" t="n">
        <f aca="false">$D376*$F376</f>
        <v>0</v>
      </c>
      <c r="H376" s="38" t="n">
        <f aca="false">IF(OR($E376="g",$E376="ml"),$D376,0)</f>
        <v>0</v>
      </c>
      <c r="I376" s="38" t="n">
        <f aca="false">IF($C376="Açaí",1,0)</f>
        <v>0</v>
      </c>
      <c r="J376" s="38" t="n">
        <f aca="false">IF($C376="Banana",1,0)</f>
        <v>0</v>
      </c>
      <c r="K376" s="38" t="n">
        <f aca="false">IF($C376="Whey Protein",1,0)</f>
        <v>0</v>
      </c>
      <c r="L376" s="38" t="n">
        <f aca="false">IF(ISNUMBER(SEARCH("Copo",$C376)),1,0)</f>
        <v>0</v>
      </c>
    </row>
    <row r="377" customFormat="false" ht="15" hidden="false" customHeight="true" outlineLevel="0" collapsed="false">
      <c r="A377" s="33"/>
      <c r="B377" s="35" t="str">
        <f aca="false">IF($C377="","",IFERROR(INDEX(Insumos_Categoria,MATCH($C377,Insumos_Ingrediente,0)),""))</f>
        <v/>
      </c>
      <c r="C377" s="33"/>
      <c r="D377" s="33"/>
      <c r="E377" s="35" t="str">
        <f aca="false">IF($C377="","",IFERROR(INDEX(Insumos_Unidade,MATCH($C377,Insumos_Ingrediente,0)),""))</f>
        <v/>
      </c>
      <c r="F377" s="19" t="n">
        <f aca="false">IFERROR(INDEX(Insumos_CustoUnit,MATCH($C377,Insumos_Ingrediente,0)),0)</f>
        <v>0</v>
      </c>
      <c r="G377" s="19" t="n">
        <f aca="false">$D377*$F377</f>
        <v>0</v>
      </c>
      <c r="H377" s="38" t="n">
        <f aca="false">IF(OR($E377="g",$E377="ml"),$D377,0)</f>
        <v>0</v>
      </c>
      <c r="I377" s="38" t="n">
        <f aca="false">IF($C377="Açaí",1,0)</f>
        <v>0</v>
      </c>
      <c r="J377" s="38" t="n">
        <f aca="false">IF($C377="Banana",1,0)</f>
        <v>0</v>
      </c>
      <c r="K377" s="38" t="n">
        <f aca="false">IF($C377="Whey Protein",1,0)</f>
        <v>0</v>
      </c>
      <c r="L377" s="38" t="n">
        <f aca="false">IF(ISNUMBER(SEARCH("Copo",$C377)),1,0)</f>
        <v>0</v>
      </c>
    </row>
    <row r="378" customFormat="false" ht="15" hidden="false" customHeight="true" outlineLevel="0" collapsed="false">
      <c r="A378" s="33"/>
      <c r="B378" s="35" t="str">
        <f aca="false">IF($C378="","",IFERROR(INDEX(Insumos_Categoria,MATCH($C378,Insumos_Ingrediente,0)),""))</f>
        <v/>
      </c>
      <c r="C378" s="33"/>
      <c r="D378" s="33"/>
      <c r="E378" s="35" t="str">
        <f aca="false">IF($C378="","",IFERROR(INDEX(Insumos_Unidade,MATCH($C378,Insumos_Ingrediente,0)),""))</f>
        <v/>
      </c>
      <c r="F378" s="19" t="n">
        <f aca="false">IFERROR(INDEX(Insumos_CustoUnit,MATCH($C378,Insumos_Ingrediente,0)),0)</f>
        <v>0</v>
      </c>
      <c r="G378" s="19" t="n">
        <f aca="false">$D378*$F378</f>
        <v>0</v>
      </c>
      <c r="H378" s="38" t="n">
        <f aca="false">IF(OR($E378="g",$E378="ml"),$D378,0)</f>
        <v>0</v>
      </c>
      <c r="I378" s="38" t="n">
        <f aca="false">IF($C378="Açaí",1,0)</f>
        <v>0</v>
      </c>
      <c r="J378" s="38" t="n">
        <f aca="false">IF($C378="Banana",1,0)</f>
        <v>0</v>
      </c>
      <c r="K378" s="38" t="n">
        <f aca="false">IF($C378="Whey Protein",1,0)</f>
        <v>0</v>
      </c>
      <c r="L378" s="38" t="n">
        <f aca="false">IF(ISNUMBER(SEARCH("Copo",$C378)),1,0)</f>
        <v>0</v>
      </c>
    </row>
    <row r="379" customFormat="false" ht="15" hidden="false" customHeight="true" outlineLevel="0" collapsed="false">
      <c r="A379" s="33"/>
      <c r="B379" s="35" t="str">
        <f aca="false">IF($C379="","",IFERROR(INDEX(Insumos_Categoria,MATCH($C379,Insumos_Ingrediente,0)),""))</f>
        <v/>
      </c>
      <c r="C379" s="33"/>
      <c r="D379" s="33"/>
      <c r="E379" s="35" t="str">
        <f aca="false">IF($C379="","",IFERROR(INDEX(Insumos_Unidade,MATCH($C379,Insumos_Ingrediente,0)),""))</f>
        <v/>
      </c>
      <c r="F379" s="19" t="n">
        <f aca="false">IFERROR(INDEX(Insumos_CustoUnit,MATCH($C379,Insumos_Ingrediente,0)),0)</f>
        <v>0</v>
      </c>
      <c r="G379" s="19" t="n">
        <f aca="false">$D379*$F379</f>
        <v>0</v>
      </c>
      <c r="H379" s="38" t="n">
        <f aca="false">IF(OR($E379="g",$E379="ml"),$D379,0)</f>
        <v>0</v>
      </c>
      <c r="I379" s="38" t="n">
        <f aca="false">IF($C379="Açaí",1,0)</f>
        <v>0</v>
      </c>
      <c r="J379" s="38" t="n">
        <f aca="false">IF($C379="Banana",1,0)</f>
        <v>0</v>
      </c>
      <c r="K379" s="38" t="n">
        <f aca="false">IF($C379="Whey Protein",1,0)</f>
        <v>0</v>
      </c>
      <c r="L379" s="38" t="n">
        <f aca="false">IF(ISNUMBER(SEARCH("Copo",$C379)),1,0)</f>
        <v>0</v>
      </c>
    </row>
    <row r="380" customFormat="false" ht="15" hidden="false" customHeight="true" outlineLevel="0" collapsed="false">
      <c r="A380" s="33"/>
      <c r="B380" s="35" t="str">
        <f aca="false">IF($C380="","",IFERROR(INDEX(Insumos_Categoria,MATCH($C380,Insumos_Ingrediente,0)),""))</f>
        <v/>
      </c>
      <c r="C380" s="33"/>
      <c r="D380" s="33"/>
      <c r="E380" s="35" t="str">
        <f aca="false">IF($C380="","",IFERROR(INDEX(Insumos_Unidade,MATCH($C380,Insumos_Ingrediente,0)),""))</f>
        <v/>
      </c>
      <c r="F380" s="19" t="n">
        <f aca="false">IFERROR(INDEX(Insumos_CustoUnit,MATCH($C380,Insumos_Ingrediente,0)),0)</f>
        <v>0</v>
      </c>
      <c r="G380" s="19" t="n">
        <f aca="false">$D380*$F380</f>
        <v>0</v>
      </c>
      <c r="H380" s="38" t="n">
        <f aca="false">IF(OR($E380="g",$E380="ml"),$D380,0)</f>
        <v>0</v>
      </c>
      <c r="I380" s="38" t="n">
        <f aca="false">IF($C380="Açaí",1,0)</f>
        <v>0</v>
      </c>
      <c r="J380" s="38" t="n">
        <f aca="false">IF($C380="Banana",1,0)</f>
        <v>0</v>
      </c>
      <c r="K380" s="38" t="n">
        <f aca="false">IF($C380="Whey Protein",1,0)</f>
        <v>0</v>
      </c>
      <c r="L380" s="38" t="n">
        <f aca="false">IF(ISNUMBER(SEARCH("Copo",$C380)),1,0)</f>
        <v>0</v>
      </c>
    </row>
    <row r="381" customFormat="false" ht="15" hidden="false" customHeight="true" outlineLevel="0" collapsed="false">
      <c r="A381" s="33"/>
      <c r="B381" s="35" t="str">
        <f aca="false">IF($C381="","",IFERROR(INDEX(Insumos_Categoria,MATCH($C381,Insumos_Ingrediente,0)),""))</f>
        <v/>
      </c>
      <c r="C381" s="33"/>
      <c r="D381" s="33"/>
      <c r="E381" s="35" t="str">
        <f aca="false">IF($C381="","",IFERROR(INDEX(Insumos_Unidade,MATCH($C381,Insumos_Ingrediente,0)),""))</f>
        <v/>
      </c>
      <c r="F381" s="19" t="n">
        <f aca="false">IFERROR(INDEX(Insumos_CustoUnit,MATCH($C381,Insumos_Ingrediente,0)),0)</f>
        <v>0</v>
      </c>
      <c r="G381" s="19" t="n">
        <f aca="false">$D381*$F381</f>
        <v>0</v>
      </c>
      <c r="H381" s="38" t="n">
        <f aca="false">IF(OR($E381="g",$E381="ml"),$D381,0)</f>
        <v>0</v>
      </c>
      <c r="I381" s="38" t="n">
        <f aca="false">IF($C381="Açaí",1,0)</f>
        <v>0</v>
      </c>
      <c r="J381" s="38" t="n">
        <f aca="false">IF($C381="Banana",1,0)</f>
        <v>0</v>
      </c>
      <c r="K381" s="38" t="n">
        <f aca="false">IF($C381="Whey Protein",1,0)</f>
        <v>0</v>
      </c>
      <c r="L381" s="38" t="n">
        <f aca="false">IF(ISNUMBER(SEARCH("Copo",$C381)),1,0)</f>
        <v>0</v>
      </c>
    </row>
    <row r="382" customFormat="false" ht="15" hidden="false" customHeight="true" outlineLevel="0" collapsed="false">
      <c r="A382" s="33"/>
      <c r="B382" s="35" t="str">
        <f aca="false">IF($C382="","",IFERROR(INDEX(Insumos_Categoria,MATCH($C382,Insumos_Ingrediente,0)),""))</f>
        <v/>
      </c>
      <c r="C382" s="33"/>
      <c r="D382" s="33"/>
      <c r="E382" s="35" t="str">
        <f aca="false">IF($C382="","",IFERROR(INDEX(Insumos_Unidade,MATCH($C382,Insumos_Ingrediente,0)),""))</f>
        <v/>
      </c>
      <c r="F382" s="19" t="n">
        <f aca="false">IFERROR(INDEX(Insumos_CustoUnit,MATCH($C382,Insumos_Ingrediente,0)),0)</f>
        <v>0</v>
      </c>
      <c r="G382" s="19" t="n">
        <f aca="false">$D382*$F382</f>
        <v>0</v>
      </c>
      <c r="H382" s="38" t="n">
        <f aca="false">IF(OR($E382="g",$E382="ml"),$D382,0)</f>
        <v>0</v>
      </c>
      <c r="I382" s="38" t="n">
        <f aca="false">IF($C382="Açaí",1,0)</f>
        <v>0</v>
      </c>
      <c r="J382" s="38" t="n">
        <f aca="false">IF($C382="Banana",1,0)</f>
        <v>0</v>
      </c>
      <c r="K382" s="38" t="n">
        <f aca="false">IF($C382="Whey Protein",1,0)</f>
        <v>0</v>
      </c>
      <c r="L382" s="38" t="n">
        <f aca="false">IF(ISNUMBER(SEARCH("Copo",$C382)),1,0)</f>
        <v>0</v>
      </c>
    </row>
    <row r="383" customFormat="false" ht="15" hidden="false" customHeight="true" outlineLevel="0" collapsed="false">
      <c r="A383" s="33"/>
      <c r="B383" s="35" t="str">
        <f aca="false">IF($C383="","",IFERROR(INDEX(Insumos_Categoria,MATCH($C383,Insumos_Ingrediente,0)),""))</f>
        <v/>
      </c>
      <c r="C383" s="33"/>
      <c r="D383" s="33"/>
      <c r="E383" s="35" t="str">
        <f aca="false">IF($C383="","",IFERROR(INDEX(Insumos_Unidade,MATCH($C383,Insumos_Ingrediente,0)),""))</f>
        <v/>
      </c>
      <c r="F383" s="19" t="n">
        <f aca="false">IFERROR(INDEX(Insumos_CustoUnit,MATCH($C383,Insumos_Ingrediente,0)),0)</f>
        <v>0</v>
      </c>
      <c r="G383" s="19" t="n">
        <f aca="false">$D383*$F383</f>
        <v>0</v>
      </c>
      <c r="H383" s="38" t="n">
        <f aca="false">IF(OR($E383="g",$E383="ml"),$D383,0)</f>
        <v>0</v>
      </c>
      <c r="I383" s="38" t="n">
        <f aca="false">IF($C383="Açaí",1,0)</f>
        <v>0</v>
      </c>
      <c r="J383" s="38" t="n">
        <f aca="false">IF($C383="Banana",1,0)</f>
        <v>0</v>
      </c>
      <c r="K383" s="38" t="n">
        <f aca="false">IF($C383="Whey Protein",1,0)</f>
        <v>0</v>
      </c>
      <c r="L383" s="38" t="n">
        <f aca="false">IF(ISNUMBER(SEARCH("Copo",$C383)),1,0)</f>
        <v>0</v>
      </c>
    </row>
    <row r="384" customFormat="false" ht="15" hidden="false" customHeight="true" outlineLevel="0" collapsed="false">
      <c r="A384" s="33"/>
      <c r="B384" s="35" t="str">
        <f aca="false">IF($C384="","",IFERROR(INDEX(Insumos_Categoria,MATCH($C384,Insumos_Ingrediente,0)),""))</f>
        <v/>
      </c>
      <c r="C384" s="33"/>
      <c r="D384" s="33"/>
      <c r="E384" s="35" t="str">
        <f aca="false">IF($C384="","",IFERROR(INDEX(Insumos_Unidade,MATCH($C384,Insumos_Ingrediente,0)),""))</f>
        <v/>
      </c>
      <c r="F384" s="19" t="n">
        <f aca="false">IFERROR(INDEX(Insumos_CustoUnit,MATCH($C384,Insumos_Ingrediente,0)),0)</f>
        <v>0</v>
      </c>
      <c r="G384" s="19" t="n">
        <f aca="false">$D384*$F384</f>
        <v>0</v>
      </c>
      <c r="H384" s="38" t="n">
        <f aca="false">IF(OR($E384="g",$E384="ml"),$D384,0)</f>
        <v>0</v>
      </c>
      <c r="I384" s="38" t="n">
        <f aca="false">IF($C384="Açaí",1,0)</f>
        <v>0</v>
      </c>
      <c r="J384" s="38" t="n">
        <f aca="false">IF($C384="Banana",1,0)</f>
        <v>0</v>
      </c>
      <c r="K384" s="38" t="n">
        <f aca="false">IF($C384="Whey Protein",1,0)</f>
        <v>0</v>
      </c>
      <c r="L384" s="38" t="n">
        <f aca="false">IF(ISNUMBER(SEARCH("Copo",$C384)),1,0)</f>
        <v>0</v>
      </c>
    </row>
    <row r="385" customFormat="false" ht="15" hidden="false" customHeight="true" outlineLevel="0" collapsed="false">
      <c r="A385" s="33"/>
      <c r="B385" s="35" t="str">
        <f aca="false">IF($C385="","",IFERROR(INDEX(Insumos_Categoria,MATCH($C385,Insumos_Ingrediente,0)),""))</f>
        <v/>
      </c>
      <c r="C385" s="33"/>
      <c r="D385" s="33"/>
      <c r="E385" s="35" t="str">
        <f aca="false">IF($C385="","",IFERROR(INDEX(Insumos_Unidade,MATCH($C385,Insumos_Ingrediente,0)),""))</f>
        <v/>
      </c>
      <c r="F385" s="19" t="n">
        <f aca="false">IFERROR(INDEX(Insumos_CustoUnit,MATCH($C385,Insumos_Ingrediente,0)),0)</f>
        <v>0</v>
      </c>
      <c r="G385" s="19" t="n">
        <f aca="false">$D385*$F385</f>
        <v>0</v>
      </c>
      <c r="H385" s="38" t="n">
        <f aca="false">IF(OR($E385="g",$E385="ml"),$D385,0)</f>
        <v>0</v>
      </c>
      <c r="I385" s="38" t="n">
        <f aca="false">IF($C385="Açaí",1,0)</f>
        <v>0</v>
      </c>
      <c r="J385" s="38" t="n">
        <f aca="false">IF($C385="Banana",1,0)</f>
        <v>0</v>
      </c>
      <c r="K385" s="38" t="n">
        <f aca="false">IF($C385="Whey Protein",1,0)</f>
        <v>0</v>
      </c>
      <c r="L385" s="38" t="n">
        <f aca="false">IF(ISNUMBER(SEARCH("Copo",$C385)),1,0)</f>
        <v>0</v>
      </c>
    </row>
    <row r="386" customFormat="false" ht="15" hidden="false" customHeight="true" outlineLevel="0" collapsed="false">
      <c r="A386" s="33"/>
      <c r="B386" s="35" t="str">
        <f aca="false">IF($C386="","",IFERROR(INDEX(Insumos_Categoria,MATCH($C386,Insumos_Ingrediente,0)),""))</f>
        <v/>
      </c>
      <c r="C386" s="33"/>
      <c r="D386" s="33"/>
      <c r="E386" s="35" t="str">
        <f aca="false">IF($C386="","",IFERROR(INDEX(Insumos_Unidade,MATCH($C386,Insumos_Ingrediente,0)),""))</f>
        <v/>
      </c>
      <c r="F386" s="19" t="n">
        <f aca="false">IFERROR(INDEX(Insumos_CustoUnit,MATCH($C386,Insumos_Ingrediente,0)),0)</f>
        <v>0</v>
      </c>
      <c r="G386" s="19" t="n">
        <f aca="false">$D386*$F386</f>
        <v>0</v>
      </c>
      <c r="H386" s="38" t="n">
        <f aca="false">IF(OR($E386="g",$E386="ml"),$D386,0)</f>
        <v>0</v>
      </c>
      <c r="I386" s="38" t="n">
        <f aca="false">IF($C386="Açaí",1,0)</f>
        <v>0</v>
      </c>
      <c r="J386" s="38" t="n">
        <f aca="false">IF($C386="Banana",1,0)</f>
        <v>0</v>
      </c>
      <c r="K386" s="38" t="n">
        <f aca="false">IF($C386="Whey Protein",1,0)</f>
        <v>0</v>
      </c>
      <c r="L386" s="38" t="n">
        <f aca="false">IF(ISNUMBER(SEARCH("Copo",$C386)),1,0)</f>
        <v>0</v>
      </c>
    </row>
    <row r="387" customFormat="false" ht="15" hidden="false" customHeight="true" outlineLevel="0" collapsed="false">
      <c r="A387" s="33"/>
      <c r="B387" s="35" t="str">
        <f aca="false">IF($C387="","",IFERROR(INDEX(Insumos_Categoria,MATCH($C387,Insumos_Ingrediente,0)),""))</f>
        <v/>
      </c>
      <c r="C387" s="33"/>
      <c r="D387" s="33"/>
      <c r="E387" s="35" t="str">
        <f aca="false">IF($C387="","",IFERROR(INDEX(Insumos_Unidade,MATCH($C387,Insumos_Ingrediente,0)),""))</f>
        <v/>
      </c>
      <c r="F387" s="19" t="n">
        <f aca="false">IFERROR(INDEX(Insumos_CustoUnit,MATCH($C387,Insumos_Ingrediente,0)),0)</f>
        <v>0</v>
      </c>
      <c r="G387" s="19" t="n">
        <f aca="false">$D387*$F387</f>
        <v>0</v>
      </c>
      <c r="H387" s="38" t="n">
        <f aca="false">IF(OR($E387="g",$E387="ml"),$D387,0)</f>
        <v>0</v>
      </c>
      <c r="I387" s="38" t="n">
        <f aca="false">IF($C387="Açaí",1,0)</f>
        <v>0</v>
      </c>
      <c r="J387" s="38" t="n">
        <f aca="false">IF($C387="Banana",1,0)</f>
        <v>0</v>
      </c>
      <c r="K387" s="38" t="n">
        <f aca="false">IF($C387="Whey Protein",1,0)</f>
        <v>0</v>
      </c>
      <c r="L387" s="38" t="n">
        <f aca="false">IF(ISNUMBER(SEARCH("Copo",$C387)),1,0)</f>
        <v>0</v>
      </c>
    </row>
    <row r="388" customFormat="false" ht="15" hidden="false" customHeight="true" outlineLevel="0" collapsed="false">
      <c r="A388" s="33"/>
      <c r="B388" s="35" t="str">
        <f aca="false">IF($C388="","",IFERROR(INDEX(Insumos_Categoria,MATCH($C388,Insumos_Ingrediente,0)),""))</f>
        <v/>
      </c>
      <c r="C388" s="33"/>
      <c r="D388" s="33"/>
      <c r="E388" s="35" t="str">
        <f aca="false">IF($C388="","",IFERROR(INDEX(Insumos_Unidade,MATCH($C388,Insumos_Ingrediente,0)),""))</f>
        <v/>
      </c>
      <c r="F388" s="19" t="n">
        <f aca="false">IFERROR(INDEX(Insumos_CustoUnit,MATCH($C388,Insumos_Ingrediente,0)),0)</f>
        <v>0</v>
      </c>
      <c r="G388" s="19" t="n">
        <f aca="false">$D388*$F388</f>
        <v>0</v>
      </c>
      <c r="H388" s="38" t="n">
        <f aca="false">IF(OR($E388="g",$E388="ml"),$D388,0)</f>
        <v>0</v>
      </c>
      <c r="I388" s="38" t="n">
        <f aca="false">IF($C388="Açaí",1,0)</f>
        <v>0</v>
      </c>
      <c r="J388" s="38" t="n">
        <f aca="false">IF($C388="Banana",1,0)</f>
        <v>0</v>
      </c>
      <c r="K388" s="38" t="n">
        <f aca="false">IF($C388="Whey Protein",1,0)</f>
        <v>0</v>
      </c>
      <c r="L388" s="38" t="n">
        <f aca="false">IF(ISNUMBER(SEARCH("Copo",$C388)),1,0)</f>
        <v>0</v>
      </c>
    </row>
    <row r="389" customFormat="false" ht="15" hidden="false" customHeight="true" outlineLevel="0" collapsed="false">
      <c r="A389" s="33"/>
      <c r="B389" s="35" t="str">
        <f aca="false">IF($C389="","",IFERROR(INDEX(Insumos_Categoria,MATCH($C389,Insumos_Ingrediente,0)),""))</f>
        <v/>
      </c>
      <c r="C389" s="33"/>
      <c r="D389" s="33"/>
      <c r="E389" s="35" t="str">
        <f aca="false">IF($C389="","",IFERROR(INDEX(Insumos_Unidade,MATCH($C389,Insumos_Ingrediente,0)),""))</f>
        <v/>
      </c>
      <c r="F389" s="19" t="n">
        <f aca="false">IFERROR(INDEX(Insumos_CustoUnit,MATCH($C389,Insumos_Ingrediente,0)),0)</f>
        <v>0</v>
      </c>
      <c r="G389" s="19" t="n">
        <f aca="false">$D389*$F389</f>
        <v>0</v>
      </c>
      <c r="H389" s="38" t="n">
        <f aca="false">IF(OR($E389="g",$E389="ml"),$D389,0)</f>
        <v>0</v>
      </c>
      <c r="I389" s="38" t="n">
        <f aca="false">IF($C389="Açaí",1,0)</f>
        <v>0</v>
      </c>
      <c r="J389" s="38" t="n">
        <f aca="false">IF($C389="Banana",1,0)</f>
        <v>0</v>
      </c>
      <c r="K389" s="38" t="n">
        <f aca="false">IF($C389="Whey Protein",1,0)</f>
        <v>0</v>
      </c>
      <c r="L389" s="38" t="n">
        <f aca="false">IF(ISNUMBER(SEARCH("Copo",$C389)),1,0)</f>
        <v>0</v>
      </c>
    </row>
    <row r="390" customFormat="false" ht="15" hidden="false" customHeight="true" outlineLevel="0" collapsed="false">
      <c r="A390" s="33"/>
      <c r="B390" s="35" t="str">
        <f aca="false">IF($C390="","",IFERROR(INDEX(Insumos_Categoria,MATCH($C390,Insumos_Ingrediente,0)),""))</f>
        <v/>
      </c>
      <c r="C390" s="33"/>
      <c r="D390" s="33"/>
      <c r="E390" s="35" t="str">
        <f aca="false">IF($C390="","",IFERROR(INDEX(Insumos_Unidade,MATCH($C390,Insumos_Ingrediente,0)),""))</f>
        <v/>
      </c>
      <c r="F390" s="19" t="n">
        <f aca="false">IFERROR(INDEX(Insumos_CustoUnit,MATCH($C390,Insumos_Ingrediente,0)),0)</f>
        <v>0</v>
      </c>
      <c r="G390" s="19" t="n">
        <f aca="false">$D390*$F390</f>
        <v>0</v>
      </c>
      <c r="H390" s="38" t="n">
        <f aca="false">IF(OR($E390="g",$E390="ml"),$D390,0)</f>
        <v>0</v>
      </c>
      <c r="I390" s="38" t="n">
        <f aca="false">IF($C390="Açaí",1,0)</f>
        <v>0</v>
      </c>
      <c r="J390" s="38" t="n">
        <f aca="false">IF($C390="Banana",1,0)</f>
        <v>0</v>
      </c>
      <c r="K390" s="38" t="n">
        <f aca="false">IF($C390="Whey Protein",1,0)</f>
        <v>0</v>
      </c>
      <c r="L390" s="38" t="n">
        <f aca="false">IF(ISNUMBER(SEARCH("Copo",$C390)),1,0)</f>
        <v>0</v>
      </c>
    </row>
    <row r="391" customFormat="false" ht="15" hidden="false" customHeight="true" outlineLevel="0" collapsed="false">
      <c r="A391" s="33"/>
      <c r="B391" s="35" t="str">
        <f aca="false">IF($C391="","",IFERROR(INDEX(Insumos_Categoria,MATCH($C391,Insumos_Ingrediente,0)),""))</f>
        <v/>
      </c>
      <c r="C391" s="33"/>
      <c r="D391" s="33"/>
      <c r="E391" s="35" t="str">
        <f aca="false">IF($C391="","",IFERROR(INDEX(Insumos_Unidade,MATCH($C391,Insumos_Ingrediente,0)),""))</f>
        <v/>
      </c>
      <c r="F391" s="19" t="n">
        <f aca="false">IFERROR(INDEX(Insumos_CustoUnit,MATCH($C391,Insumos_Ingrediente,0)),0)</f>
        <v>0</v>
      </c>
      <c r="G391" s="19" t="n">
        <f aca="false">$D391*$F391</f>
        <v>0</v>
      </c>
      <c r="H391" s="38" t="n">
        <f aca="false">IF(OR($E391="g",$E391="ml"),$D391,0)</f>
        <v>0</v>
      </c>
      <c r="I391" s="38" t="n">
        <f aca="false">IF($C391="Açaí",1,0)</f>
        <v>0</v>
      </c>
      <c r="J391" s="38" t="n">
        <f aca="false">IF($C391="Banana",1,0)</f>
        <v>0</v>
      </c>
      <c r="K391" s="38" t="n">
        <f aca="false">IF($C391="Whey Protein",1,0)</f>
        <v>0</v>
      </c>
      <c r="L391" s="38" t="n">
        <f aca="false">IF(ISNUMBER(SEARCH("Copo",$C391)),1,0)</f>
        <v>0</v>
      </c>
    </row>
    <row r="392" customFormat="false" ht="15" hidden="false" customHeight="true" outlineLevel="0" collapsed="false">
      <c r="A392" s="33"/>
      <c r="B392" s="35" t="str">
        <f aca="false">IF($C392="","",IFERROR(INDEX(Insumos_Categoria,MATCH($C392,Insumos_Ingrediente,0)),""))</f>
        <v/>
      </c>
      <c r="C392" s="33"/>
      <c r="D392" s="33"/>
      <c r="E392" s="35" t="str">
        <f aca="false">IF($C392="","",IFERROR(INDEX(Insumos_Unidade,MATCH($C392,Insumos_Ingrediente,0)),""))</f>
        <v/>
      </c>
      <c r="F392" s="19" t="n">
        <f aca="false">IFERROR(INDEX(Insumos_CustoUnit,MATCH($C392,Insumos_Ingrediente,0)),0)</f>
        <v>0</v>
      </c>
      <c r="G392" s="19" t="n">
        <f aca="false">$D392*$F392</f>
        <v>0</v>
      </c>
      <c r="H392" s="38" t="n">
        <f aca="false">IF(OR($E392="g",$E392="ml"),$D392,0)</f>
        <v>0</v>
      </c>
      <c r="I392" s="38" t="n">
        <f aca="false">IF($C392="Açaí",1,0)</f>
        <v>0</v>
      </c>
      <c r="J392" s="38" t="n">
        <f aca="false">IF($C392="Banana",1,0)</f>
        <v>0</v>
      </c>
      <c r="K392" s="38" t="n">
        <f aca="false">IF($C392="Whey Protein",1,0)</f>
        <v>0</v>
      </c>
      <c r="L392" s="38" t="n">
        <f aca="false">IF(ISNUMBER(SEARCH("Copo",$C392)),1,0)</f>
        <v>0</v>
      </c>
    </row>
    <row r="393" customFormat="false" ht="15" hidden="false" customHeight="true" outlineLevel="0" collapsed="false">
      <c r="A393" s="33"/>
      <c r="B393" s="35" t="str">
        <f aca="false">IF($C393="","",IFERROR(INDEX(Insumos_Categoria,MATCH($C393,Insumos_Ingrediente,0)),""))</f>
        <v/>
      </c>
      <c r="C393" s="33"/>
      <c r="D393" s="33"/>
      <c r="E393" s="35" t="str">
        <f aca="false">IF($C393="","",IFERROR(INDEX(Insumos_Unidade,MATCH($C393,Insumos_Ingrediente,0)),""))</f>
        <v/>
      </c>
      <c r="F393" s="19" t="n">
        <f aca="false">IFERROR(INDEX(Insumos_CustoUnit,MATCH($C393,Insumos_Ingrediente,0)),0)</f>
        <v>0</v>
      </c>
      <c r="G393" s="19" t="n">
        <f aca="false">$D393*$F393</f>
        <v>0</v>
      </c>
      <c r="H393" s="38" t="n">
        <f aca="false">IF(OR($E393="g",$E393="ml"),$D393,0)</f>
        <v>0</v>
      </c>
      <c r="I393" s="38" t="n">
        <f aca="false">IF($C393="Açaí",1,0)</f>
        <v>0</v>
      </c>
      <c r="J393" s="38" t="n">
        <f aca="false">IF($C393="Banana",1,0)</f>
        <v>0</v>
      </c>
      <c r="K393" s="38" t="n">
        <f aca="false">IF($C393="Whey Protein",1,0)</f>
        <v>0</v>
      </c>
      <c r="L393" s="38" t="n">
        <f aca="false">IF(ISNUMBER(SEARCH("Copo",$C393)),1,0)</f>
        <v>0</v>
      </c>
    </row>
    <row r="394" customFormat="false" ht="15" hidden="false" customHeight="true" outlineLevel="0" collapsed="false">
      <c r="A394" s="33"/>
      <c r="B394" s="35" t="str">
        <f aca="false">IF($C394="","",IFERROR(INDEX(Insumos_Categoria,MATCH($C394,Insumos_Ingrediente,0)),""))</f>
        <v/>
      </c>
      <c r="C394" s="33"/>
      <c r="D394" s="33"/>
      <c r="E394" s="35" t="str">
        <f aca="false">IF($C394="","",IFERROR(INDEX(Insumos_Unidade,MATCH($C394,Insumos_Ingrediente,0)),""))</f>
        <v/>
      </c>
      <c r="F394" s="19" t="n">
        <f aca="false">IFERROR(INDEX(Insumos_CustoUnit,MATCH($C394,Insumos_Ingrediente,0)),0)</f>
        <v>0</v>
      </c>
      <c r="G394" s="19" t="n">
        <f aca="false">$D394*$F394</f>
        <v>0</v>
      </c>
      <c r="H394" s="38" t="n">
        <f aca="false">IF(OR($E394="g",$E394="ml"),$D394,0)</f>
        <v>0</v>
      </c>
      <c r="I394" s="38" t="n">
        <f aca="false">IF($C394="Açaí",1,0)</f>
        <v>0</v>
      </c>
      <c r="J394" s="38" t="n">
        <f aca="false">IF($C394="Banana",1,0)</f>
        <v>0</v>
      </c>
      <c r="K394" s="38" t="n">
        <f aca="false">IF($C394="Whey Protein",1,0)</f>
        <v>0</v>
      </c>
      <c r="L394" s="38" t="n">
        <f aca="false">IF(ISNUMBER(SEARCH("Copo",$C394)),1,0)</f>
        <v>0</v>
      </c>
    </row>
    <row r="395" customFormat="false" ht="15" hidden="false" customHeight="true" outlineLevel="0" collapsed="false">
      <c r="A395" s="33"/>
      <c r="B395" s="35" t="str">
        <f aca="false">IF($C395="","",IFERROR(INDEX(Insumos_Categoria,MATCH($C395,Insumos_Ingrediente,0)),""))</f>
        <v/>
      </c>
      <c r="C395" s="33"/>
      <c r="D395" s="33"/>
      <c r="E395" s="35" t="str">
        <f aca="false">IF($C395="","",IFERROR(INDEX(Insumos_Unidade,MATCH($C395,Insumos_Ingrediente,0)),""))</f>
        <v/>
      </c>
      <c r="F395" s="19" t="n">
        <f aca="false">IFERROR(INDEX(Insumos_CustoUnit,MATCH($C395,Insumos_Ingrediente,0)),0)</f>
        <v>0</v>
      </c>
      <c r="G395" s="19" t="n">
        <f aca="false">$D395*$F395</f>
        <v>0</v>
      </c>
      <c r="H395" s="38" t="n">
        <f aca="false">IF(OR($E395="g",$E395="ml"),$D395,0)</f>
        <v>0</v>
      </c>
      <c r="I395" s="38" t="n">
        <f aca="false">IF($C395="Açaí",1,0)</f>
        <v>0</v>
      </c>
      <c r="J395" s="38" t="n">
        <f aca="false">IF($C395="Banana",1,0)</f>
        <v>0</v>
      </c>
      <c r="K395" s="38" t="n">
        <f aca="false">IF($C395="Whey Protein",1,0)</f>
        <v>0</v>
      </c>
      <c r="L395" s="38" t="n">
        <f aca="false">IF(ISNUMBER(SEARCH("Copo",$C395)),1,0)</f>
        <v>0</v>
      </c>
    </row>
    <row r="396" customFormat="false" ht="15" hidden="false" customHeight="true" outlineLevel="0" collapsed="false">
      <c r="A396" s="33"/>
      <c r="B396" s="35" t="str">
        <f aca="false">IF($C396="","",IFERROR(INDEX(Insumos_Categoria,MATCH($C396,Insumos_Ingrediente,0)),""))</f>
        <v/>
      </c>
      <c r="C396" s="33"/>
      <c r="D396" s="33"/>
      <c r="E396" s="35" t="str">
        <f aca="false">IF($C396="","",IFERROR(INDEX(Insumos_Unidade,MATCH($C396,Insumos_Ingrediente,0)),""))</f>
        <v/>
      </c>
      <c r="F396" s="19" t="n">
        <f aca="false">IFERROR(INDEX(Insumos_CustoUnit,MATCH($C396,Insumos_Ingrediente,0)),0)</f>
        <v>0</v>
      </c>
      <c r="G396" s="19" t="n">
        <f aca="false">$D396*$F396</f>
        <v>0</v>
      </c>
      <c r="H396" s="38" t="n">
        <f aca="false">IF(OR($E396="g",$E396="ml"),$D396,0)</f>
        <v>0</v>
      </c>
      <c r="I396" s="38" t="n">
        <f aca="false">IF($C396="Açaí",1,0)</f>
        <v>0</v>
      </c>
      <c r="J396" s="38" t="n">
        <f aca="false">IF($C396="Banana",1,0)</f>
        <v>0</v>
      </c>
      <c r="K396" s="38" t="n">
        <f aca="false">IF($C396="Whey Protein",1,0)</f>
        <v>0</v>
      </c>
      <c r="L396" s="38" t="n">
        <f aca="false">IF(ISNUMBER(SEARCH("Copo",$C396)),1,0)</f>
        <v>0</v>
      </c>
    </row>
    <row r="397" customFormat="false" ht="15" hidden="false" customHeight="true" outlineLevel="0" collapsed="false">
      <c r="A397" s="33"/>
      <c r="B397" s="35" t="str">
        <f aca="false">IF($C397="","",IFERROR(INDEX(Insumos_Categoria,MATCH($C397,Insumos_Ingrediente,0)),""))</f>
        <v/>
      </c>
      <c r="C397" s="33"/>
      <c r="D397" s="33"/>
      <c r="E397" s="35" t="str">
        <f aca="false">IF($C397="","",IFERROR(INDEX(Insumos_Unidade,MATCH($C397,Insumos_Ingrediente,0)),""))</f>
        <v/>
      </c>
      <c r="F397" s="19" t="n">
        <f aca="false">IFERROR(INDEX(Insumos_CustoUnit,MATCH($C397,Insumos_Ingrediente,0)),0)</f>
        <v>0</v>
      </c>
      <c r="G397" s="19" t="n">
        <f aca="false">$D397*$F397</f>
        <v>0</v>
      </c>
      <c r="H397" s="38" t="n">
        <f aca="false">IF(OR($E397="g",$E397="ml"),$D397,0)</f>
        <v>0</v>
      </c>
      <c r="I397" s="38" t="n">
        <f aca="false">IF($C397="Açaí",1,0)</f>
        <v>0</v>
      </c>
      <c r="J397" s="38" t="n">
        <f aca="false">IF($C397="Banana",1,0)</f>
        <v>0</v>
      </c>
      <c r="K397" s="38" t="n">
        <f aca="false">IF($C397="Whey Protein",1,0)</f>
        <v>0</v>
      </c>
      <c r="L397" s="38" t="n">
        <f aca="false">IF(ISNUMBER(SEARCH("Copo",$C397)),1,0)</f>
        <v>0</v>
      </c>
    </row>
    <row r="398" customFormat="false" ht="15" hidden="false" customHeight="true" outlineLevel="0" collapsed="false">
      <c r="A398" s="33"/>
      <c r="B398" s="35" t="str">
        <f aca="false">IF($C398="","",IFERROR(INDEX(Insumos_Categoria,MATCH($C398,Insumos_Ingrediente,0)),""))</f>
        <v/>
      </c>
      <c r="C398" s="33"/>
      <c r="D398" s="33"/>
      <c r="E398" s="35" t="str">
        <f aca="false">IF($C398="","",IFERROR(INDEX(Insumos_Unidade,MATCH($C398,Insumos_Ingrediente,0)),""))</f>
        <v/>
      </c>
      <c r="F398" s="19" t="n">
        <f aca="false">IFERROR(INDEX(Insumos_CustoUnit,MATCH($C398,Insumos_Ingrediente,0)),0)</f>
        <v>0</v>
      </c>
      <c r="G398" s="19" t="n">
        <f aca="false">$D398*$F398</f>
        <v>0</v>
      </c>
      <c r="H398" s="38" t="n">
        <f aca="false">IF(OR($E398="g",$E398="ml"),$D398,0)</f>
        <v>0</v>
      </c>
      <c r="I398" s="38" t="n">
        <f aca="false">IF($C398="Açaí",1,0)</f>
        <v>0</v>
      </c>
      <c r="J398" s="38" t="n">
        <f aca="false">IF($C398="Banana",1,0)</f>
        <v>0</v>
      </c>
      <c r="K398" s="38" t="n">
        <f aca="false">IF($C398="Whey Protein",1,0)</f>
        <v>0</v>
      </c>
      <c r="L398" s="38" t="n">
        <f aca="false">IF(ISNUMBER(SEARCH("Copo",$C398)),1,0)</f>
        <v>0</v>
      </c>
    </row>
    <row r="399" customFormat="false" ht="15" hidden="false" customHeight="true" outlineLevel="0" collapsed="false">
      <c r="A399" s="33"/>
      <c r="B399" s="35" t="str">
        <f aca="false">IF($C399="","",IFERROR(INDEX(Insumos_Categoria,MATCH($C399,Insumos_Ingrediente,0)),""))</f>
        <v/>
      </c>
      <c r="C399" s="33"/>
      <c r="D399" s="33"/>
      <c r="E399" s="35" t="str">
        <f aca="false">IF($C399="","",IFERROR(INDEX(Insumos_Unidade,MATCH($C399,Insumos_Ingrediente,0)),""))</f>
        <v/>
      </c>
      <c r="F399" s="19" t="n">
        <f aca="false">IFERROR(INDEX(Insumos_CustoUnit,MATCH($C399,Insumos_Ingrediente,0)),0)</f>
        <v>0</v>
      </c>
      <c r="G399" s="19" t="n">
        <f aca="false">$D399*$F399</f>
        <v>0</v>
      </c>
      <c r="H399" s="38" t="n">
        <f aca="false">IF(OR($E399="g",$E399="ml"),$D399,0)</f>
        <v>0</v>
      </c>
      <c r="I399" s="38" t="n">
        <f aca="false">IF($C399="Açaí",1,0)</f>
        <v>0</v>
      </c>
      <c r="J399" s="38" t="n">
        <f aca="false">IF($C399="Banana",1,0)</f>
        <v>0</v>
      </c>
      <c r="K399" s="38" t="n">
        <f aca="false">IF($C399="Whey Protein",1,0)</f>
        <v>0</v>
      </c>
      <c r="L399" s="38" t="n">
        <f aca="false">IF(ISNUMBER(SEARCH("Copo",$C399)),1,0)</f>
        <v>0</v>
      </c>
    </row>
    <row r="400" customFormat="false" ht="15" hidden="false" customHeight="true" outlineLevel="0" collapsed="false">
      <c r="A400" s="33"/>
      <c r="B400" s="35" t="str">
        <f aca="false">IF($C400="","",IFERROR(INDEX(Insumos_Categoria,MATCH($C400,Insumos_Ingrediente,0)),""))</f>
        <v/>
      </c>
      <c r="C400" s="33"/>
      <c r="D400" s="33"/>
      <c r="E400" s="35" t="str">
        <f aca="false">IF($C400="","",IFERROR(INDEX(Insumos_Unidade,MATCH($C400,Insumos_Ingrediente,0)),""))</f>
        <v/>
      </c>
      <c r="F400" s="19" t="n">
        <f aca="false">IFERROR(INDEX(Insumos_CustoUnit,MATCH($C400,Insumos_Ingrediente,0)),0)</f>
        <v>0</v>
      </c>
      <c r="G400" s="19" t="n">
        <f aca="false">$D400*$F400</f>
        <v>0</v>
      </c>
      <c r="H400" s="38" t="n">
        <f aca="false">IF(OR($E400="g",$E400="ml"),$D400,0)</f>
        <v>0</v>
      </c>
      <c r="I400" s="38" t="n">
        <f aca="false">IF($C400="Açaí",1,0)</f>
        <v>0</v>
      </c>
      <c r="J400" s="38" t="n">
        <f aca="false">IF($C400="Banana",1,0)</f>
        <v>0</v>
      </c>
      <c r="K400" s="38" t="n">
        <f aca="false">IF($C400="Whey Protein",1,0)</f>
        <v>0</v>
      </c>
      <c r="L400" s="38" t="n">
        <f aca="false">IF(ISNUMBER(SEARCH("Copo",$C400)),1,0)</f>
        <v>0</v>
      </c>
    </row>
    <row r="401" customFormat="false" ht="15" hidden="false" customHeight="true" outlineLevel="0" collapsed="false">
      <c r="A401" s="33"/>
      <c r="B401" s="35" t="str">
        <f aca="false">IF($C401="","",IFERROR(INDEX(Insumos_Categoria,MATCH($C401,Insumos_Ingrediente,0)),""))</f>
        <v/>
      </c>
      <c r="C401" s="33"/>
      <c r="D401" s="33"/>
      <c r="E401" s="35" t="str">
        <f aca="false">IF($C401="","",IFERROR(INDEX(Insumos_Unidade,MATCH($C401,Insumos_Ingrediente,0)),""))</f>
        <v/>
      </c>
      <c r="F401" s="19" t="n">
        <f aca="false">IFERROR(INDEX(Insumos_CustoUnit,MATCH($C401,Insumos_Ingrediente,0)),0)</f>
        <v>0</v>
      </c>
      <c r="G401" s="19" t="n">
        <f aca="false">$D401*$F401</f>
        <v>0</v>
      </c>
      <c r="H401" s="38" t="n">
        <f aca="false">IF(OR($E401="g",$E401="ml"),$D401,0)</f>
        <v>0</v>
      </c>
      <c r="I401" s="38" t="n">
        <f aca="false">IF($C401="Açaí",1,0)</f>
        <v>0</v>
      </c>
      <c r="J401" s="38" t="n">
        <f aca="false">IF($C401="Banana",1,0)</f>
        <v>0</v>
      </c>
      <c r="K401" s="38" t="n">
        <f aca="false">IF($C401="Whey Protein",1,0)</f>
        <v>0</v>
      </c>
      <c r="L401" s="38" t="n">
        <f aca="false">IF(ISNUMBER(SEARCH("Copo",$C401)),1,0)</f>
        <v>0</v>
      </c>
    </row>
    <row r="402" customFormat="false" ht="15" hidden="false" customHeight="true" outlineLevel="0" collapsed="false">
      <c r="A402" s="33"/>
      <c r="B402" s="35" t="str">
        <f aca="false">IF($C402="","",IFERROR(INDEX(Insumos_Categoria,MATCH($C402,Insumos_Ingrediente,0)),""))</f>
        <v/>
      </c>
      <c r="C402" s="33"/>
      <c r="D402" s="33"/>
      <c r="E402" s="35" t="str">
        <f aca="false">IF($C402="","",IFERROR(INDEX(Insumos_Unidade,MATCH($C402,Insumos_Ingrediente,0)),""))</f>
        <v/>
      </c>
      <c r="F402" s="19" t="n">
        <f aca="false">IFERROR(INDEX(Insumos_CustoUnit,MATCH($C402,Insumos_Ingrediente,0)),0)</f>
        <v>0</v>
      </c>
      <c r="G402" s="19" t="n">
        <f aca="false">$D402*$F402</f>
        <v>0</v>
      </c>
      <c r="H402" s="38" t="n">
        <f aca="false">IF(OR($E402="g",$E402="ml"),$D402,0)</f>
        <v>0</v>
      </c>
      <c r="I402" s="38" t="n">
        <f aca="false">IF($C402="Açaí",1,0)</f>
        <v>0</v>
      </c>
      <c r="J402" s="38" t="n">
        <f aca="false">IF($C402="Banana",1,0)</f>
        <v>0</v>
      </c>
      <c r="K402" s="38" t="n">
        <f aca="false">IF($C402="Whey Protein",1,0)</f>
        <v>0</v>
      </c>
      <c r="L402" s="38" t="n">
        <f aca="false">IF(ISNUMBER(SEARCH("Copo",$C402)),1,0)</f>
        <v>0</v>
      </c>
    </row>
    <row r="403" customFormat="false" ht="15" hidden="false" customHeight="true" outlineLevel="0" collapsed="false">
      <c r="A403" s="33"/>
      <c r="B403" s="35" t="str">
        <f aca="false">IF($C403="","",IFERROR(INDEX(Insumos_Categoria,MATCH($C403,Insumos_Ingrediente,0)),""))</f>
        <v/>
      </c>
      <c r="C403" s="33"/>
      <c r="D403" s="33"/>
      <c r="E403" s="35" t="str">
        <f aca="false">IF($C403="","",IFERROR(INDEX(Insumos_Unidade,MATCH($C403,Insumos_Ingrediente,0)),""))</f>
        <v/>
      </c>
      <c r="F403" s="19" t="n">
        <f aca="false">IFERROR(INDEX(Insumos_CustoUnit,MATCH($C403,Insumos_Ingrediente,0)),0)</f>
        <v>0</v>
      </c>
      <c r="G403" s="19" t="n">
        <f aca="false">$D403*$F403</f>
        <v>0</v>
      </c>
      <c r="H403" s="38" t="n">
        <f aca="false">IF(OR($E403="g",$E403="ml"),$D403,0)</f>
        <v>0</v>
      </c>
      <c r="I403" s="38" t="n">
        <f aca="false">IF($C403="Açaí",1,0)</f>
        <v>0</v>
      </c>
      <c r="J403" s="38" t="n">
        <f aca="false">IF($C403="Banana",1,0)</f>
        <v>0</v>
      </c>
      <c r="K403" s="38" t="n">
        <f aca="false">IF($C403="Whey Protein",1,0)</f>
        <v>0</v>
      </c>
      <c r="L403" s="38" t="n">
        <f aca="false">IF(ISNUMBER(SEARCH("Copo",$C403)),1,0)</f>
        <v>0</v>
      </c>
    </row>
    <row r="404" customFormat="false" ht="15" hidden="false" customHeight="true" outlineLevel="0" collapsed="false">
      <c r="A404" s="33"/>
      <c r="B404" s="35" t="str">
        <f aca="false">IF($C404="","",IFERROR(INDEX(Insumos_Categoria,MATCH($C404,Insumos_Ingrediente,0)),""))</f>
        <v/>
      </c>
      <c r="C404" s="33"/>
      <c r="D404" s="33"/>
      <c r="E404" s="35" t="str">
        <f aca="false">IF($C404="","",IFERROR(INDEX(Insumos_Unidade,MATCH($C404,Insumos_Ingrediente,0)),""))</f>
        <v/>
      </c>
      <c r="F404" s="19" t="n">
        <f aca="false">IFERROR(INDEX(Insumos_CustoUnit,MATCH($C404,Insumos_Ingrediente,0)),0)</f>
        <v>0</v>
      </c>
      <c r="G404" s="19" t="n">
        <f aca="false">$D404*$F404</f>
        <v>0</v>
      </c>
      <c r="H404" s="38" t="n">
        <f aca="false">IF(OR($E404="g",$E404="ml"),$D404,0)</f>
        <v>0</v>
      </c>
      <c r="I404" s="38" t="n">
        <f aca="false">IF($C404="Açaí",1,0)</f>
        <v>0</v>
      </c>
      <c r="J404" s="38" t="n">
        <f aca="false">IF($C404="Banana",1,0)</f>
        <v>0</v>
      </c>
      <c r="K404" s="38" t="n">
        <f aca="false">IF($C404="Whey Protein",1,0)</f>
        <v>0</v>
      </c>
      <c r="L404" s="38" t="n">
        <f aca="false">IF(ISNUMBER(SEARCH("Copo",$C404)),1,0)</f>
        <v>0</v>
      </c>
    </row>
    <row r="405" customFormat="false" ht="15" hidden="false" customHeight="true" outlineLevel="0" collapsed="false">
      <c r="A405" s="33"/>
      <c r="B405" s="35" t="str">
        <f aca="false">IF($C405="","",IFERROR(INDEX(Insumos_Categoria,MATCH($C405,Insumos_Ingrediente,0)),""))</f>
        <v/>
      </c>
      <c r="C405" s="33"/>
      <c r="D405" s="33"/>
      <c r="E405" s="35" t="str">
        <f aca="false">IF($C405="","",IFERROR(INDEX(Insumos_Unidade,MATCH($C405,Insumos_Ingrediente,0)),""))</f>
        <v/>
      </c>
      <c r="F405" s="19" t="n">
        <f aca="false">IFERROR(INDEX(Insumos_CustoUnit,MATCH($C405,Insumos_Ingrediente,0)),0)</f>
        <v>0</v>
      </c>
      <c r="G405" s="19" t="n">
        <f aca="false">$D405*$F405</f>
        <v>0</v>
      </c>
      <c r="H405" s="38" t="n">
        <f aca="false">IF(OR($E405="g",$E405="ml"),$D405,0)</f>
        <v>0</v>
      </c>
      <c r="I405" s="38" t="n">
        <f aca="false">IF($C405="Açaí",1,0)</f>
        <v>0</v>
      </c>
      <c r="J405" s="38" t="n">
        <f aca="false">IF($C405="Banana",1,0)</f>
        <v>0</v>
      </c>
      <c r="K405" s="38" t="n">
        <f aca="false">IF($C405="Whey Protein",1,0)</f>
        <v>0</v>
      </c>
      <c r="L405" s="38" t="n">
        <f aca="false">IF(ISNUMBER(SEARCH("Copo",$C405)),1,0)</f>
        <v>0</v>
      </c>
    </row>
    <row r="406" customFormat="false" ht="15" hidden="false" customHeight="true" outlineLevel="0" collapsed="false">
      <c r="A406" s="33"/>
      <c r="B406" s="35" t="str">
        <f aca="false">IF($C406="","",IFERROR(INDEX(Insumos_Categoria,MATCH($C406,Insumos_Ingrediente,0)),""))</f>
        <v/>
      </c>
      <c r="C406" s="33"/>
      <c r="D406" s="33"/>
      <c r="E406" s="35" t="str">
        <f aca="false">IF($C406="","",IFERROR(INDEX(Insumos_Unidade,MATCH($C406,Insumos_Ingrediente,0)),""))</f>
        <v/>
      </c>
      <c r="F406" s="19" t="n">
        <f aca="false">IFERROR(INDEX(Insumos_CustoUnit,MATCH($C406,Insumos_Ingrediente,0)),0)</f>
        <v>0</v>
      </c>
      <c r="G406" s="19" t="n">
        <f aca="false">$D406*$F406</f>
        <v>0</v>
      </c>
      <c r="H406" s="38" t="n">
        <f aca="false">IF(OR($E406="g",$E406="ml"),$D406,0)</f>
        <v>0</v>
      </c>
      <c r="I406" s="38" t="n">
        <f aca="false">IF($C406="Açaí",1,0)</f>
        <v>0</v>
      </c>
      <c r="J406" s="38" t="n">
        <f aca="false">IF($C406="Banana",1,0)</f>
        <v>0</v>
      </c>
      <c r="K406" s="38" t="n">
        <f aca="false">IF($C406="Whey Protein",1,0)</f>
        <v>0</v>
      </c>
      <c r="L406" s="38" t="n">
        <f aca="false">IF(ISNUMBER(SEARCH("Copo",$C406)),1,0)</f>
        <v>0</v>
      </c>
    </row>
    <row r="407" customFormat="false" ht="15" hidden="false" customHeight="true" outlineLevel="0" collapsed="false">
      <c r="A407" s="33"/>
      <c r="B407" s="35" t="str">
        <f aca="false">IF($C407="","",IFERROR(INDEX(Insumos_Categoria,MATCH($C407,Insumos_Ingrediente,0)),""))</f>
        <v/>
      </c>
      <c r="C407" s="33"/>
      <c r="D407" s="33"/>
      <c r="E407" s="35" t="str">
        <f aca="false">IF($C407="","",IFERROR(INDEX(Insumos_Unidade,MATCH($C407,Insumos_Ingrediente,0)),""))</f>
        <v/>
      </c>
      <c r="F407" s="19" t="n">
        <f aca="false">IFERROR(INDEX(Insumos_CustoUnit,MATCH($C407,Insumos_Ingrediente,0)),0)</f>
        <v>0</v>
      </c>
      <c r="G407" s="19" t="n">
        <f aca="false">$D407*$F407</f>
        <v>0</v>
      </c>
      <c r="H407" s="38" t="n">
        <f aca="false">IF(OR($E407="g",$E407="ml"),$D407,0)</f>
        <v>0</v>
      </c>
      <c r="I407" s="38" t="n">
        <f aca="false">IF($C407="Açaí",1,0)</f>
        <v>0</v>
      </c>
      <c r="J407" s="38" t="n">
        <f aca="false">IF($C407="Banana",1,0)</f>
        <v>0</v>
      </c>
      <c r="K407" s="38" t="n">
        <f aca="false">IF($C407="Whey Protein",1,0)</f>
        <v>0</v>
      </c>
      <c r="L407" s="38" t="n">
        <f aca="false">IF(ISNUMBER(SEARCH("Copo",$C407)),1,0)</f>
        <v>0</v>
      </c>
    </row>
    <row r="408" customFormat="false" ht="15" hidden="false" customHeight="true" outlineLevel="0" collapsed="false">
      <c r="A408" s="33"/>
      <c r="B408" s="35" t="str">
        <f aca="false">IF($C408="","",IFERROR(INDEX(Insumos_Categoria,MATCH($C408,Insumos_Ingrediente,0)),""))</f>
        <v/>
      </c>
      <c r="C408" s="33"/>
      <c r="D408" s="33"/>
      <c r="E408" s="35" t="str">
        <f aca="false">IF($C408="","",IFERROR(INDEX(Insumos_Unidade,MATCH($C408,Insumos_Ingrediente,0)),""))</f>
        <v/>
      </c>
      <c r="F408" s="19" t="n">
        <f aca="false">IFERROR(INDEX(Insumos_CustoUnit,MATCH($C408,Insumos_Ingrediente,0)),0)</f>
        <v>0</v>
      </c>
      <c r="G408" s="19" t="n">
        <f aca="false">$D408*$F408</f>
        <v>0</v>
      </c>
      <c r="H408" s="38" t="n">
        <f aca="false">IF(OR($E408="g",$E408="ml"),$D408,0)</f>
        <v>0</v>
      </c>
      <c r="I408" s="38" t="n">
        <f aca="false">IF($C408="Açaí",1,0)</f>
        <v>0</v>
      </c>
      <c r="J408" s="38" t="n">
        <f aca="false">IF($C408="Banana",1,0)</f>
        <v>0</v>
      </c>
      <c r="K408" s="38" t="n">
        <f aca="false">IF($C408="Whey Protein",1,0)</f>
        <v>0</v>
      </c>
      <c r="L408" s="38" t="n">
        <f aca="false">IF(ISNUMBER(SEARCH("Copo",$C408)),1,0)</f>
        <v>0</v>
      </c>
    </row>
    <row r="409" customFormat="false" ht="15" hidden="false" customHeight="true" outlineLevel="0" collapsed="false">
      <c r="A409" s="33"/>
      <c r="B409" s="35" t="str">
        <f aca="false">IF($C409="","",IFERROR(INDEX(Insumos_Categoria,MATCH($C409,Insumos_Ingrediente,0)),""))</f>
        <v/>
      </c>
      <c r="C409" s="33"/>
      <c r="D409" s="33"/>
      <c r="E409" s="35" t="str">
        <f aca="false">IF($C409="","",IFERROR(INDEX(Insumos_Unidade,MATCH($C409,Insumos_Ingrediente,0)),""))</f>
        <v/>
      </c>
      <c r="F409" s="19" t="n">
        <f aca="false">IFERROR(INDEX(Insumos_CustoUnit,MATCH($C409,Insumos_Ingrediente,0)),0)</f>
        <v>0</v>
      </c>
      <c r="G409" s="19" t="n">
        <f aca="false">$D409*$F409</f>
        <v>0</v>
      </c>
      <c r="H409" s="38" t="n">
        <f aca="false">IF(OR($E409="g",$E409="ml"),$D409,0)</f>
        <v>0</v>
      </c>
      <c r="I409" s="38" t="n">
        <f aca="false">IF($C409="Açaí",1,0)</f>
        <v>0</v>
      </c>
      <c r="J409" s="38" t="n">
        <f aca="false">IF($C409="Banana",1,0)</f>
        <v>0</v>
      </c>
      <c r="K409" s="38" t="n">
        <f aca="false">IF($C409="Whey Protein",1,0)</f>
        <v>0</v>
      </c>
      <c r="L409" s="38" t="n">
        <f aca="false">IF(ISNUMBER(SEARCH("Copo",$C409)),1,0)</f>
        <v>0</v>
      </c>
    </row>
    <row r="410" customFormat="false" ht="15" hidden="false" customHeight="true" outlineLevel="0" collapsed="false">
      <c r="A410" s="33"/>
      <c r="B410" s="35" t="str">
        <f aca="false">IF($C410="","",IFERROR(INDEX(Insumos_Categoria,MATCH($C410,Insumos_Ingrediente,0)),""))</f>
        <v/>
      </c>
      <c r="C410" s="33"/>
      <c r="D410" s="33"/>
      <c r="E410" s="35" t="str">
        <f aca="false">IF($C410="","",IFERROR(INDEX(Insumos_Unidade,MATCH($C410,Insumos_Ingrediente,0)),""))</f>
        <v/>
      </c>
      <c r="F410" s="19" t="n">
        <f aca="false">IFERROR(INDEX(Insumos_CustoUnit,MATCH($C410,Insumos_Ingrediente,0)),0)</f>
        <v>0</v>
      </c>
      <c r="G410" s="19" t="n">
        <f aca="false">$D410*$F410</f>
        <v>0</v>
      </c>
      <c r="H410" s="38" t="n">
        <f aca="false">IF(OR($E410="g",$E410="ml"),$D410,0)</f>
        <v>0</v>
      </c>
      <c r="I410" s="38" t="n">
        <f aca="false">IF($C410="Açaí",1,0)</f>
        <v>0</v>
      </c>
      <c r="J410" s="38" t="n">
        <f aca="false">IF($C410="Banana",1,0)</f>
        <v>0</v>
      </c>
      <c r="K410" s="38" t="n">
        <f aca="false">IF($C410="Whey Protein",1,0)</f>
        <v>0</v>
      </c>
      <c r="L410" s="38" t="n">
        <f aca="false">IF(ISNUMBER(SEARCH("Copo",$C410)),1,0)</f>
        <v>0</v>
      </c>
    </row>
    <row r="411" customFormat="false" ht="15" hidden="false" customHeight="true" outlineLevel="0" collapsed="false">
      <c r="A411" s="33"/>
      <c r="B411" s="35" t="str">
        <f aca="false">IF($C411="","",IFERROR(INDEX(Insumos_Categoria,MATCH($C411,Insumos_Ingrediente,0)),""))</f>
        <v/>
      </c>
      <c r="C411" s="33"/>
      <c r="D411" s="33"/>
      <c r="E411" s="35" t="str">
        <f aca="false">IF($C411="","",IFERROR(INDEX(Insumos_Unidade,MATCH($C411,Insumos_Ingrediente,0)),""))</f>
        <v/>
      </c>
      <c r="F411" s="19" t="n">
        <f aca="false">IFERROR(INDEX(Insumos_CustoUnit,MATCH($C411,Insumos_Ingrediente,0)),0)</f>
        <v>0</v>
      </c>
      <c r="G411" s="19" t="n">
        <f aca="false">$D411*$F411</f>
        <v>0</v>
      </c>
      <c r="H411" s="38" t="n">
        <f aca="false">IF(OR($E411="g",$E411="ml"),$D411,0)</f>
        <v>0</v>
      </c>
      <c r="I411" s="38" t="n">
        <f aca="false">IF($C411="Açaí",1,0)</f>
        <v>0</v>
      </c>
      <c r="J411" s="38" t="n">
        <f aca="false">IF($C411="Banana",1,0)</f>
        <v>0</v>
      </c>
      <c r="K411" s="38" t="n">
        <f aca="false">IF($C411="Whey Protein",1,0)</f>
        <v>0</v>
      </c>
      <c r="L411" s="38" t="n">
        <f aca="false">IF(ISNUMBER(SEARCH("Copo",$C411)),1,0)</f>
        <v>0</v>
      </c>
    </row>
    <row r="412" customFormat="false" ht="15" hidden="false" customHeight="true" outlineLevel="0" collapsed="false">
      <c r="A412" s="33"/>
      <c r="B412" s="35" t="str">
        <f aca="false">IF($C412="","",IFERROR(INDEX(Insumos_Categoria,MATCH($C412,Insumos_Ingrediente,0)),""))</f>
        <v/>
      </c>
      <c r="C412" s="33"/>
      <c r="D412" s="33"/>
      <c r="E412" s="35" t="str">
        <f aca="false">IF($C412="","",IFERROR(INDEX(Insumos_Unidade,MATCH($C412,Insumos_Ingrediente,0)),""))</f>
        <v/>
      </c>
      <c r="F412" s="19" t="n">
        <f aca="false">IFERROR(INDEX(Insumos_CustoUnit,MATCH($C412,Insumos_Ingrediente,0)),0)</f>
        <v>0</v>
      </c>
      <c r="G412" s="19" t="n">
        <f aca="false">$D412*$F412</f>
        <v>0</v>
      </c>
      <c r="H412" s="38" t="n">
        <f aca="false">IF(OR($E412="g",$E412="ml"),$D412,0)</f>
        <v>0</v>
      </c>
      <c r="I412" s="38" t="n">
        <f aca="false">IF($C412="Açaí",1,0)</f>
        <v>0</v>
      </c>
      <c r="J412" s="38" t="n">
        <f aca="false">IF($C412="Banana",1,0)</f>
        <v>0</v>
      </c>
      <c r="K412" s="38" t="n">
        <f aca="false">IF($C412="Whey Protein",1,0)</f>
        <v>0</v>
      </c>
      <c r="L412" s="38" t="n">
        <f aca="false">IF(ISNUMBER(SEARCH("Copo",$C412)),1,0)</f>
        <v>0</v>
      </c>
    </row>
    <row r="413" customFormat="false" ht="15" hidden="false" customHeight="true" outlineLevel="0" collapsed="false">
      <c r="A413" s="33"/>
      <c r="B413" s="35" t="str">
        <f aca="false">IF($C413="","",IFERROR(INDEX(Insumos_Categoria,MATCH($C413,Insumos_Ingrediente,0)),""))</f>
        <v/>
      </c>
      <c r="C413" s="33"/>
      <c r="D413" s="33"/>
      <c r="E413" s="35" t="str">
        <f aca="false">IF($C413="","",IFERROR(INDEX(Insumos_Unidade,MATCH($C413,Insumos_Ingrediente,0)),""))</f>
        <v/>
      </c>
      <c r="F413" s="19" t="n">
        <f aca="false">IFERROR(INDEX(Insumos_CustoUnit,MATCH($C413,Insumos_Ingrediente,0)),0)</f>
        <v>0</v>
      </c>
      <c r="G413" s="19" t="n">
        <f aca="false">$D413*$F413</f>
        <v>0</v>
      </c>
      <c r="H413" s="38" t="n">
        <f aca="false">IF(OR($E413="g",$E413="ml"),$D413,0)</f>
        <v>0</v>
      </c>
      <c r="I413" s="38" t="n">
        <f aca="false">IF($C413="Açaí",1,0)</f>
        <v>0</v>
      </c>
      <c r="J413" s="38" t="n">
        <f aca="false">IF($C413="Banana",1,0)</f>
        <v>0</v>
      </c>
      <c r="K413" s="38" t="n">
        <f aca="false">IF($C413="Whey Protein",1,0)</f>
        <v>0</v>
      </c>
      <c r="L413" s="38" t="n">
        <f aca="false">IF(ISNUMBER(SEARCH("Copo",$C413)),1,0)</f>
        <v>0</v>
      </c>
    </row>
    <row r="414" customFormat="false" ht="15" hidden="false" customHeight="true" outlineLevel="0" collapsed="false">
      <c r="A414" s="33"/>
      <c r="B414" s="35" t="str">
        <f aca="false">IF($C414="","",IFERROR(INDEX(Insumos_Categoria,MATCH($C414,Insumos_Ingrediente,0)),""))</f>
        <v/>
      </c>
      <c r="C414" s="33"/>
      <c r="D414" s="33"/>
      <c r="E414" s="35" t="str">
        <f aca="false">IF($C414="","",IFERROR(INDEX(Insumos_Unidade,MATCH($C414,Insumos_Ingrediente,0)),""))</f>
        <v/>
      </c>
      <c r="F414" s="19" t="n">
        <f aca="false">IFERROR(INDEX(Insumos_CustoUnit,MATCH($C414,Insumos_Ingrediente,0)),0)</f>
        <v>0</v>
      </c>
      <c r="G414" s="19" t="n">
        <f aca="false">$D414*$F414</f>
        <v>0</v>
      </c>
      <c r="H414" s="38" t="n">
        <f aca="false">IF(OR($E414="g",$E414="ml"),$D414,0)</f>
        <v>0</v>
      </c>
      <c r="I414" s="38" t="n">
        <f aca="false">IF($C414="Açaí",1,0)</f>
        <v>0</v>
      </c>
      <c r="J414" s="38" t="n">
        <f aca="false">IF($C414="Banana",1,0)</f>
        <v>0</v>
      </c>
      <c r="K414" s="38" t="n">
        <f aca="false">IF($C414="Whey Protein",1,0)</f>
        <v>0</v>
      </c>
      <c r="L414" s="38" t="n">
        <f aca="false">IF(ISNUMBER(SEARCH("Copo",$C414)),1,0)</f>
        <v>0</v>
      </c>
    </row>
    <row r="415" customFormat="false" ht="15" hidden="false" customHeight="true" outlineLevel="0" collapsed="false">
      <c r="A415" s="33"/>
      <c r="B415" s="35" t="str">
        <f aca="false">IF($C415="","",IFERROR(INDEX(Insumos_Categoria,MATCH($C415,Insumos_Ingrediente,0)),""))</f>
        <v/>
      </c>
      <c r="C415" s="33"/>
      <c r="D415" s="33"/>
      <c r="E415" s="35" t="str">
        <f aca="false">IF($C415="","",IFERROR(INDEX(Insumos_Unidade,MATCH($C415,Insumos_Ingrediente,0)),""))</f>
        <v/>
      </c>
      <c r="F415" s="19" t="n">
        <f aca="false">IFERROR(INDEX(Insumos_CustoUnit,MATCH($C415,Insumos_Ingrediente,0)),0)</f>
        <v>0</v>
      </c>
      <c r="G415" s="19" t="n">
        <f aca="false">$D415*$F415</f>
        <v>0</v>
      </c>
      <c r="H415" s="38" t="n">
        <f aca="false">IF(OR($E415="g",$E415="ml"),$D415,0)</f>
        <v>0</v>
      </c>
      <c r="I415" s="38" t="n">
        <f aca="false">IF($C415="Açaí",1,0)</f>
        <v>0</v>
      </c>
      <c r="J415" s="38" t="n">
        <f aca="false">IF($C415="Banana",1,0)</f>
        <v>0</v>
      </c>
      <c r="K415" s="38" t="n">
        <f aca="false">IF($C415="Whey Protein",1,0)</f>
        <v>0</v>
      </c>
      <c r="L415" s="38" t="n">
        <f aca="false">IF(ISNUMBER(SEARCH("Copo",$C415)),1,0)</f>
        <v>0</v>
      </c>
    </row>
    <row r="416" customFormat="false" ht="15" hidden="false" customHeight="true" outlineLevel="0" collapsed="false">
      <c r="A416" s="33"/>
      <c r="B416" s="35" t="str">
        <f aca="false">IF($C416="","",IFERROR(INDEX(Insumos_Categoria,MATCH($C416,Insumos_Ingrediente,0)),""))</f>
        <v/>
      </c>
      <c r="C416" s="33"/>
      <c r="D416" s="33"/>
      <c r="E416" s="35" t="str">
        <f aca="false">IF($C416="","",IFERROR(INDEX(Insumos_Unidade,MATCH($C416,Insumos_Ingrediente,0)),""))</f>
        <v/>
      </c>
      <c r="F416" s="19" t="n">
        <f aca="false">IFERROR(INDEX(Insumos_CustoUnit,MATCH($C416,Insumos_Ingrediente,0)),0)</f>
        <v>0</v>
      </c>
      <c r="G416" s="19" t="n">
        <f aca="false">$D416*$F416</f>
        <v>0</v>
      </c>
      <c r="H416" s="38" t="n">
        <f aca="false">IF(OR($E416="g",$E416="ml"),$D416,0)</f>
        <v>0</v>
      </c>
      <c r="I416" s="38" t="n">
        <f aca="false">IF($C416="Açaí",1,0)</f>
        <v>0</v>
      </c>
      <c r="J416" s="38" t="n">
        <f aca="false">IF($C416="Banana",1,0)</f>
        <v>0</v>
      </c>
      <c r="K416" s="38" t="n">
        <f aca="false">IF($C416="Whey Protein",1,0)</f>
        <v>0</v>
      </c>
      <c r="L416" s="38" t="n">
        <f aca="false">IF(ISNUMBER(SEARCH("Copo",$C416)),1,0)</f>
        <v>0</v>
      </c>
    </row>
    <row r="417" customFormat="false" ht="15" hidden="false" customHeight="true" outlineLevel="0" collapsed="false">
      <c r="A417" s="33"/>
      <c r="B417" s="35" t="str">
        <f aca="false">IF($C417="","",IFERROR(INDEX(Insumos_Categoria,MATCH($C417,Insumos_Ingrediente,0)),""))</f>
        <v/>
      </c>
      <c r="C417" s="33"/>
      <c r="D417" s="33"/>
      <c r="E417" s="35" t="str">
        <f aca="false">IF($C417="","",IFERROR(INDEX(Insumos_Unidade,MATCH($C417,Insumos_Ingrediente,0)),""))</f>
        <v/>
      </c>
      <c r="F417" s="19" t="n">
        <f aca="false">IFERROR(INDEX(Insumos_CustoUnit,MATCH($C417,Insumos_Ingrediente,0)),0)</f>
        <v>0</v>
      </c>
      <c r="G417" s="19" t="n">
        <f aca="false">$D417*$F417</f>
        <v>0</v>
      </c>
      <c r="H417" s="38" t="n">
        <f aca="false">IF(OR($E417="g",$E417="ml"),$D417,0)</f>
        <v>0</v>
      </c>
      <c r="I417" s="38" t="n">
        <f aca="false">IF($C417="Açaí",1,0)</f>
        <v>0</v>
      </c>
      <c r="J417" s="38" t="n">
        <f aca="false">IF($C417="Banana",1,0)</f>
        <v>0</v>
      </c>
      <c r="K417" s="38" t="n">
        <f aca="false">IF($C417="Whey Protein",1,0)</f>
        <v>0</v>
      </c>
      <c r="L417" s="38" t="n">
        <f aca="false">IF(ISNUMBER(SEARCH("Copo",$C417)),1,0)</f>
        <v>0</v>
      </c>
    </row>
    <row r="418" customFormat="false" ht="15" hidden="false" customHeight="true" outlineLevel="0" collapsed="false">
      <c r="A418" s="33"/>
      <c r="B418" s="35" t="str">
        <f aca="false">IF($C418="","",IFERROR(INDEX(Insumos_Categoria,MATCH($C418,Insumos_Ingrediente,0)),""))</f>
        <v/>
      </c>
      <c r="C418" s="33"/>
      <c r="D418" s="33"/>
      <c r="E418" s="35" t="str">
        <f aca="false">IF($C418="","",IFERROR(INDEX(Insumos_Unidade,MATCH($C418,Insumos_Ingrediente,0)),""))</f>
        <v/>
      </c>
      <c r="F418" s="19" t="n">
        <f aca="false">IFERROR(INDEX(Insumos_CustoUnit,MATCH($C418,Insumos_Ingrediente,0)),0)</f>
        <v>0</v>
      </c>
      <c r="G418" s="19" t="n">
        <f aca="false">$D418*$F418</f>
        <v>0</v>
      </c>
      <c r="H418" s="38" t="n">
        <f aca="false">IF(OR($E418="g",$E418="ml"),$D418,0)</f>
        <v>0</v>
      </c>
      <c r="I418" s="38" t="n">
        <f aca="false">IF($C418="Açaí",1,0)</f>
        <v>0</v>
      </c>
      <c r="J418" s="38" t="n">
        <f aca="false">IF($C418="Banana",1,0)</f>
        <v>0</v>
      </c>
      <c r="K418" s="38" t="n">
        <f aca="false">IF($C418="Whey Protein",1,0)</f>
        <v>0</v>
      </c>
      <c r="L418" s="38" t="n">
        <f aca="false">IF(ISNUMBER(SEARCH("Copo",$C418)),1,0)</f>
        <v>0</v>
      </c>
    </row>
    <row r="419" customFormat="false" ht="15" hidden="false" customHeight="true" outlineLevel="0" collapsed="false">
      <c r="A419" s="33"/>
      <c r="B419" s="35" t="str">
        <f aca="false">IF($C419="","",IFERROR(INDEX(Insumos_Categoria,MATCH($C419,Insumos_Ingrediente,0)),""))</f>
        <v/>
      </c>
      <c r="C419" s="33"/>
      <c r="D419" s="33"/>
      <c r="E419" s="35" t="str">
        <f aca="false">IF($C419="","",IFERROR(INDEX(Insumos_Unidade,MATCH($C419,Insumos_Ingrediente,0)),""))</f>
        <v/>
      </c>
      <c r="F419" s="19" t="n">
        <f aca="false">IFERROR(INDEX(Insumos_CustoUnit,MATCH($C419,Insumos_Ingrediente,0)),0)</f>
        <v>0</v>
      </c>
      <c r="G419" s="19" t="n">
        <f aca="false">$D419*$F419</f>
        <v>0</v>
      </c>
      <c r="H419" s="38" t="n">
        <f aca="false">IF(OR($E419="g",$E419="ml"),$D419,0)</f>
        <v>0</v>
      </c>
      <c r="I419" s="38" t="n">
        <f aca="false">IF($C419="Açaí",1,0)</f>
        <v>0</v>
      </c>
      <c r="J419" s="38" t="n">
        <f aca="false">IF($C419="Banana",1,0)</f>
        <v>0</v>
      </c>
      <c r="K419" s="38" t="n">
        <f aca="false">IF($C419="Whey Protein",1,0)</f>
        <v>0</v>
      </c>
      <c r="L419" s="38" t="n">
        <f aca="false">IF(ISNUMBER(SEARCH("Copo",$C419)),1,0)</f>
        <v>0</v>
      </c>
    </row>
    <row r="420" customFormat="false" ht="15" hidden="false" customHeight="true" outlineLevel="0" collapsed="false">
      <c r="A420" s="33"/>
      <c r="B420" s="35" t="str">
        <f aca="false">IF($C420="","",IFERROR(INDEX(Insumos_Categoria,MATCH($C420,Insumos_Ingrediente,0)),""))</f>
        <v/>
      </c>
      <c r="C420" s="33"/>
      <c r="D420" s="33"/>
      <c r="E420" s="35" t="str">
        <f aca="false">IF($C420="","",IFERROR(INDEX(Insumos_Unidade,MATCH($C420,Insumos_Ingrediente,0)),""))</f>
        <v/>
      </c>
      <c r="F420" s="19" t="n">
        <f aca="false">IFERROR(INDEX(Insumos_CustoUnit,MATCH($C420,Insumos_Ingrediente,0)),0)</f>
        <v>0</v>
      </c>
      <c r="G420" s="19" t="n">
        <f aca="false">$D420*$F420</f>
        <v>0</v>
      </c>
      <c r="H420" s="38" t="n">
        <f aca="false">IF(OR($E420="g",$E420="ml"),$D420,0)</f>
        <v>0</v>
      </c>
      <c r="I420" s="38" t="n">
        <f aca="false">IF($C420="Açaí",1,0)</f>
        <v>0</v>
      </c>
      <c r="J420" s="38" t="n">
        <f aca="false">IF($C420="Banana",1,0)</f>
        <v>0</v>
      </c>
      <c r="K420" s="38" t="n">
        <f aca="false">IF($C420="Whey Protein",1,0)</f>
        <v>0</v>
      </c>
      <c r="L420" s="38" t="n">
        <f aca="false">IF(ISNUMBER(SEARCH("Copo",$C420)),1,0)</f>
        <v>0</v>
      </c>
    </row>
    <row r="421" customFormat="false" ht="15" hidden="false" customHeight="true" outlineLevel="0" collapsed="false">
      <c r="A421" s="33"/>
      <c r="B421" s="35" t="str">
        <f aca="false">IF($C421="","",IFERROR(INDEX(Insumos_Categoria,MATCH($C421,Insumos_Ingrediente,0)),""))</f>
        <v/>
      </c>
      <c r="C421" s="33"/>
      <c r="D421" s="33"/>
      <c r="E421" s="35" t="str">
        <f aca="false">IF($C421="","",IFERROR(INDEX(Insumos_Unidade,MATCH($C421,Insumos_Ingrediente,0)),""))</f>
        <v/>
      </c>
      <c r="F421" s="19" t="n">
        <f aca="false">IFERROR(INDEX(Insumos_CustoUnit,MATCH($C421,Insumos_Ingrediente,0)),0)</f>
        <v>0</v>
      </c>
      <c r="G421" s="19" t="n">
        <f aca="false">$D421*$F421</f>
        <v>0</v>
      </c>
      <c r="H421" s="38" t="n">
        <f aca="false">IF(OR($E421="g",$E421="ml"),$D421,0)</f>
        <v>0</v>
      </c>
      <c r="I421" s="38" t="n">
        <f aca="false">IF($C421="Açaí",1,0)</f>
        <v>0</v>
      </c>
      <c r="J421" s="38" t="n">
        <f aca="false">IF($C421="Banana",1,0)</f>
        <v>0</v>
      </c>
      <c r="K421" s="38" t="n">
        <f aca="false">IF($C421="Whey Protein",1,0)</f>
        <v>0</v>
      </c>
      <c r="L421" s="38" t="n">
        <f aca="false">IF(ISNUMBER(SEARCH("Copo",$C421)),1,0)</f>
        <v>0</v>
      </c>
    </row>
    <row r="422" customFormat="false" ht="15" hidden="false" customHeight="true" outlineLevel="0" collapsed="false">
      <c r="A422" s="33"/>
      <c r="B422" s="35" t="str">
        <f aca="false">IF($C422="","",IFERROR(INDEX(Insumos_Categoria,MATCH($C422,Insumos_Ingrediente,0)),""))</f>
        <v/>
      </c>
      <c r="C422" s="33"/>
      <c r="D422" s="33"/>
      <c r="E422" s="35" t="str">
        <f aca="false">IF($C422="","",IFERROR(INDEX(Insumos_Unidade,MATCH($C422,Insumos_Ingrediente,0)),""))</f>
        <v/>
      </c>
      <c r="F422" s="19" t="n">
        <f aca="false">IFERROR(INDEX(Insumos_CustoUnit,MATCH($C422,Insumos_Ingrediente,0)),0)</f>
        <v>0</v>
      </c>
      <c r="G422" s="19" t="n">
        <f aca="false">$D422*$F422</f>
        <v>0</v>
      </c>
      <c r="H422" s="38" t="n">
        <f aca="false">IF(OR($E422="g",$E422="ml"),$D422,0)</f>
        <v>0</v>
      </c>
      <c r="I422" s="38" t="n">
        <f aca="false">IF($C422="Açaí",1,0)</f>
        <v>0</v>
      </c>
      <c r="J422" s="38" t="n">
        <f aca="false">IF($C422="Banana",1,0)</f>
        <v>0</v>
      </c>
      <c r="K422" s="38" t="n">
        <f aca="false">IF($C422="Whey Protein",1,0)</f>
        <v>0</v>
      </c>
      <c r="L422" s="38" t="n">
        <f aca="false">IF(ISNUMBER(SEARCH("Copo",$C422)),1,0)</f>
        <v>0</v>
      </c>
    </row>
    <row r="423" customFormat="false" ht="15" hidden="false" customHeight="true" outlineLevel="0" collapsed="false">
      <c r="A423" s="33"/>
      <c r="B423" s="35" t="str">
        <f aca="false">IF($C423="","",IFERROR(INDEX(Insumos_Categoria,MATCH($C423,Insumos_Ingrediente,0)),""))</f>
        <v/>
      </c>
      <c r="C423" s="33"/>
      <c r="D423" s="33"/>
      <c r="E423" s="35" t="str">
        <f aca="false">IF($C423="","",IFERROR(INDEX(Insumos_Unidade,MATCH($C423,Insumos_Ingrediente,0)),""))</f>
        <v/>
      </c>
      <c r="F423" s="19" t="n">
        <f aca="false">IFERROR(INDEX(Insumos_CustoUnit,MATCH($C423,Insumos_Ingrediente,0)),0)</f>
        <v>0</v>
      </c>
      <c r="G423" s="19" t="n">
        <f aca="false">$D423*$F423</f>
        <v>0</v>
      </c>
      <c r="H423" s="38" t="n">
        <f aca="false">IF(OR($E423="g",$E423="ml"),$D423,0)</f>
        <v>0</v>
      </c>
      <c r="I423" s="38" t="n">
        <f aca="false">IF($C423="Açaí",1,0)</f>
        <v>0</v>
      </c>
      <c r="J423" s="38" t="n">
        <f aca="false">IF($C423="Banana",1,0)</f>
        <v>0</v>
      </c>
      <c r="K423" s="38" t="n">
        <f aca="false">IF($C423="Whey Protein",1,0)</f>
        <v>0</v>
      </c>
      <c r="L423" s="38" t="n">
        <f aca="false">IF(ISNUMBER(SEARCH("Copo",$C423)),1,0)</f>
        <v>0</v>
      </c>
    </row>
    <row r="424" customFormat="false" ht="15" hidden="false" customHeight="true" outlineLevel="0" collapsed="false">
      <c r="A424" s="33"/>
      <c r="B424" s="35" t="str">
        <f aca="false">IF($C424="","",IFERROR(INDEX(Insumos_Categoria,MATCH($C424,Insumos_Ingrediente,0)),""))</f>
        <v/>
      </c>
      <c r="C424" s="33"/>
      <c r="D424" s="33"/>
      <c r="E424" s="35" t="str">
        <f aca="false">IF($C424="","",IFERROR(INDEX(Insumos_Unidade,MATCH($C424,Insumos_Ingrediente,0)),""))</f>
        <v/>
      </c>
      <c r="F424" s="19" t="n">
        <f aca="false">IFERROR(INDEX(Insumos_CustoUnit,MATCH($C424,Insumos_Ingrediente,0)),0)</f>
        <v>0</v>
      </c>
      <c r="G424" s="19" t="n">
        <f aca="false">$D424*$F424</f>
        <v>0</v>
      </c>
      <c r="H424" s="38" t="n">
        <f aca="false">IF(OR($E424="g",$E424="ml"),$D424,0)</f>
        <v>0</v>
      </c>
      <c r="I424" s="38" t="n">
        <f aca="false">IF($C424="Açaí",1,0)</f>
        <v>0</v>
      </c>
      <c r="J424" s="38" t="n">
        <f aca="false">IF($C424="Banana",1,0)</f>
        <v>0</v>
      </c>
      <c r="K424" s="38" t="n">
        <f aca="false">IF($C424="Whey Protein",1,0)</f>
        <v>0</v>
      </c>
      <c r="L424" s="38" t="n">
        <f aca="false">IF(ISNUMBER(SEARCH("Copo",$C424)),1,0)</f>
        <v>0</v>
      </c>
    </row>
    <row r="425" customFormat="false" ht="15" hidden="false" customHeight="true" outlineLevel="0" collapsed="false">
      <c r="A425" s="33"/>
      <c r="B425" s="35" t="str">
        <f aca="false">IF($C425="","",IFERROR(INDEX(Insumos_Categoria,MATCH($C425,Insumos_Ingrediente,0)),""))</f>
        <v/>
      </c>
      <c r="C425" s="33"/>
      <c r="D425" s="33"/>
      <c r="E425" s="35" t="str">
        <f aca="false">IF($C425="","",IFERROR(INDEX(Insumos_Unidade,MATCH($C425,Insumos_Ingrediente,0)),""))</f>
        <v/>
      </c>
      <c r="F425" s="19" t="n">
        <f aca="false">IFERROR(INDEX(Insumos_CustoUnit,MATCH($C425,Insumos_Ingrediente,0)),0)</f>
        <v>0</v>
      </c>
      <c r="G425" s="19" t="n">
        <f aca="false">$D425*$F425</f>
        <v>0</v>
      </c>
      <c r="H425" s="38" t="n">
        <f aca="false">IF(OR($E425="g",$E425="ml"),$D425,0)</f>
        <v>0</v>
      </c>
      <c r="I425" s="38" t="n">
        <f aca="false">IF($C425="Açaí",1,0)</f>
        <v>0</v>
      </c>
      <c r="J425" s="38" t="n">
        <f aca="false">IF($C425="Banana",1,0)</f>
        <v>0</v>
      </c>
      <c r="K425" s="38" t="n">
        <f aca="false">IF($C425="Whey Protein",1,0)</f>
        <v>0</v>
      </c>
      <c r="L425" s="38" t="n">
        <f aca="false">IF(ISNUMBER(SEARCH("Copo",$C425)),1,0)</f>
        <v>0</v>
      </c>
    </row>
    <row r="426" customFormat="false" ht="15" hidden="false" customHeight="true" outlineLevel="0" collapsed="false">
      <c r="A426" s="33"/>
      <c r="B426" s="35" t="str">
        <f aca="false">IF($C426="","",IFERROR(INDEX(Insumos_Categoria,MATCH($C426,Insumos_Ingrediente,0)),""))</f>
        <v/>
      </c>
      <c r="C426" s="33"/>
      <c r="D426" s="33"/>
      <c r="E426" s="35" t="str">
        <f aca="false">IF($C426="","",IFERROR(INDEX(Insumos_Unidade,MATCH($C426,Insumos_Ingrediente,0)),""))</f>
        <v/>
      </c>
      <c r="F426" s="19" t="n">
        <f aca="false">IFERROR(INDEX(Insumos_CustoUnit,MATCH($C426,Insumos_Ingrediente,0)),0)</f>
        <v>0</v>
      </c>
      <c r="G426" s="19" t="n">
        <f aca="false">$D426*$F426</f>
        <v>0</v>
      </c>
      <c r="H426" s="38" t="n">
        <f aca="false">IF(OR($E426="g",$E426="ml"),$D426,0)</f>
        <v>0</v>
      </c>
      <c r="I426" s="38" t="n">
        <f aca="false">IF($C426="Açaí",1,0)</f>
        <v>0</v>
      </c>
      <c r="J426" s="38" t="n">
        <f aca="false">IF($C426="Banana",1,0)</f>
        <v>0</v>
      </c>
      <c r="K426" s="38" t="n">
        <f aca="false">IF($C426="Whey Protein",1,0)</f>
        <v>0</v>
      </c>
      <c r="L426" s="38" t="n">
        <f aca="false">IF(ISNUMBER(SEARCH("Copo",$C426)),1,0)</f>
        <v>0</v>
      </c>
    </row>
    <row r="427" customFormat="false" ht="15" hidden="false" customHeight="true" outlineLevel="0" collapsed="false">
      <c r="A427" s="33"/>
      <c r="B427" s="35" t="str">
        <f aca="false">IF($C427="","",IFERROR(INDEX(Insumos_Categoria,MATCH($C427,Insumos_Ingrediente,0)),""))</f>
        <v/>
      </c>
      <c r="C427" s="33"/>
      <c r="D427" s="33"/>
      <c r="E427" s="35" t="str">
        <f aca="false">IF($C427="","",IFERROR(INDEX(Insumos_Unidade,MATCH($C427,Insumos_Ingrediente,0)),""))</f>
        <v/>
      </c>
      <c r="F427" s="19" t="n">
        <f aca="false">IFERROR(INDEX(Insumos_CustoUnit,MATCH($C427,Insumos_Ingrediente,0)),0)</f>
        <v>0</v>
      </c>
      <c r="G427" s="19" t="n">
        <f aca="false">$D427*$F427</f>
        <v>0</v>
      </c>
      <c r="H427" s="38" t="n">
        <f aca="false">IF(OR($E427="g",$E427="ml"),$D427,0)</f>
        <v>0</v>
      </c>
      <c r="I427" s="38" t="n">
        <f aca="false">IF($C427="Açaí",1,0)</f>
        <v>0</v>
      </c>
      <c r="J427" s="38" t="n">
        <f aca="false">IF($C427="Banana",1,0)</f>
        <v>0</v>
      </c>
      <c r="K427" s="38" t="n">
        <f aca="false">IF($C427="Whey Protein",1,0)</f>
        <v>0</v>
      </c>
      <c r="L427" s="38" t="n">
        <f aca="false">IF(ISNUMBER(SEARCH("Copo",$C427)),1,0)</f>
        <v>0</v>
      </c>
    </row>
    <row r="428" customFormat="false" ht="15" hidden="false" customHeight="true" outlineLevel="0" collapsed="false">
      <c r="A428" s="33"/>
      <c r="B428" s="35" t="str">
        <f aca="false">IF($C428="","",IFERROR(INDEX(Insumos_Categoria,MATCH($C428,Insumos_Ingrediente,0)),""))</f>
        <v/>
      </c>
      <c r="C428" s="33"/>
      <c r="D428" s="33"/>
      <c r="E428" s="35" t="str">
        <f aca="false">IF($C428="","",IFERROR(INDEX(Insumos_Unidade,MATCH($C428,Insumos_Ingrediente,0)),""))</f>
        <v/>
      </c>
      <c r="F428" s="19" t="n">
        <f aca="false">IFERROR(INDEX(Insumos_CustoUnit,MATCH($C428,Insumos_Ingrediente,0)),0)</f>
        <v>0</v>
      </c>
      <c r="G428" s="19" t="n">
        <f aca="false">$D428*$F428</f>
        <v>0</v>
      </c>
      <c r="H428" s="38" t="n">
        <f aca="false">IF(OR($E428="g",$E428="ml"),$D428,0)</f>
        <v>0</v>
      </c>
      <c r="I428" s="38" t="n">
        <f aca="false">IF($C428="Açaí",1,0)</f>
        <v>0</v>
      </c>
      <c r="J428" s="38" t="n">
        <f aca="false">IF($C428="Banana",1,0)</f>
        <v>0</v>
      </c>
      <c r="K428" s="38" t="n">
        <f aca="false">IF($C428="Whey Protein",1,0)</f>
        <v>0</v>
      </c>
      <c r="L428" s="38" t="n">
        <f aca="false">IF(ISNUMBER(SEARCH("Copo",$C428)),1,0)</f>
        <v>0</v>
      </c>
    </row>
    <row r="429" customFormat="false" ht="15" hidden="false" customHeight="true" outlineLevel="0" collapsed="false">
      <c r="A429" s="33"/>
      <c r="B429" s="35" t="str">
        <f aca="false">IF($C429="","",IFERROR(INDEX(Insumos_Categoria,MATCH($C429,Insumos_Ingrediente,0)),""))</f>
        <v/>
      </c>
      <c r="C429" s="33"/>
      <c r="D429" s="33"/>
      <c r="E429" s="35" t="str">
        <f aca="false">IF($C429="","",IFERROR(INDEX(Insumos_Unidade,MATCH($C429,Insumos_Ingrediente,0)),""))</f>
        <v/>
      </c>
      <c r="F429" s="19" t="n">
        <f aca="false">IFERROR(INDEX(Insumos_CustoUnit,MATCH($C429,Insumos_Ingrediente,0)),0)</f>
        <v>0</v>
      </c>
      <c r="G429" s="19" t="n">
        <f aca="false">$D429*$F429</f>
        <v>0</v>
      </c>
      <c r="H429" s="38" t="n">
        <f aca="false">IF(OR($E429="g",$E429="ml"),$D429,0)</f>
        <v>0</v>
      </c>
      <c r="I429" s="38" t="n">
        <f aca="false">IF($C429="Açaí",1,0)</f>
        <v>0</v>
      </c>
      <c r="J429" s="38" t="n">
        <f aca="false">IF($C429="Banana",1,0)</f>
        <v>0</v>
      </c>
      <c r="K429" s="38" t="n">
        <f aca="false">IF($C429="Whey Protein",1,0)</f>
        <v>0</v>
      </c>
      <c r="L429" s="38" t="n">
        <f aca="false">IF(ISNUMBER(SEARCH("Copo",$C429)),1,0)</f>
        <v>0</v>
      </c>
    </row>
    <row r="430" customFormat="false" ht="15" hidden="false" customHeight="true" outlineLevel="0" collapsed="false">
      <c r="A430" s="33"/>
      <c r="B430" s="35" t="str">
        <f aca="false">IF($C430="","",IFERROR(INDEX(Insumos_Categoria,MATCH($C430,Insumos_Ingrediente,0)),""))</f>
        <v/>
      </c>
      <c r="C430" s="33"/>
      <c r="D430" s="33"/>
      <c r="E430" s="35" t="str">
        <f aca="false">IF($C430="","",IFERROR(INDEX(Insumos_Unidade,MATCH($C430,Insumos_Ingrediente,0)),""))</f>
        <v/>
      </c>
      <c r="F430" s="19" t="n">
        <f aca="false">IFERROR(INDEX(Insumos_CustoUnit,MATCH($C430,Insumos_Ingrediente,0)),0)</f>
        <v>0</v>
      </c>
      <c r="G430" s="19" t="n">
        <f aca="false">$D430*$F430</f>
        <v>0</v>
      </c>
      <c r="H430" s="38" t="n">
        <f aca="false">IF(OR($E430="g",$E430="ml"),$D430,0)</f>
        <v>0</v>
      </c>
      <c r="I430" s="38" t="n">
        <f aca="false">IF($C430="Açaí",1,0)</f>
        <v>0</v>
      </c>
      <c r="J430" s="38" t="n">
        <f aca="false">IF($C430="Banana",1,0)</f>
        <v>0</v>
      </c>
      <c r="K430" s="38" t="n">
        <f aca="false">IF($C430="Whey Protein",1,0)</f>
        <v>0</v>
      </c>
      <c r="L430" s="38" t="n">
        <f aca="false">IF(ISNUMBER(SEARCH("Copo",$C430)),1,0)</f>
        <v>0</v>
      </c>
    </row>
    <row r="431" customFormat="false" ht="15" hidden="false" customHeight="true" outlineLevel="0" collapsed="false">
      <c r="A431" s="33"/>
      <c r="B431" s="35" t="str">
        <f aca="false">IF($C431="","",IFERROR(INDEX(Insumos_Categoria,MATCH($C431,Insumos_Ingrediente,0)),""))</f>
        <v/>
      </c>
      <c r="C431" s="33"/>
      <c r="D431" s="33"/>
      <c r="E431" s="35" t="str">
        <f aca="false">IF($C431="","",IFERROR(INDEX(Insumos_Unidade,MATCH($C431,Insumos_Ingrediente,0)),""))</f>
        <v/>
      </c>
      <c r="F431" s="19" t="n">
        <f aca="false">IFERROR(INDEX(Insumos_CustoUnit,MATCH($C431,Insumos_Ingrediente,0)),0)</f>
        <v>0</v>
      </c>
      <c r="G431" s="19" t="n">
        <f aca="false">$D431*$F431</f>
        <v>0</v>
      </c>
      <c r="H431" s="38" t="n">
        <f aca="false">IF(OR($E431="g",$E431="ml"),$D431,0)</f>
        <v>0</v>
      </c>
      <c r="I431" s="38" t="n">
        <f aca="false">IF($C431="Açaí",1,0)</f>
        <v>0</v>
      </c>
      <c r="J431" s="38" t="n">
        <f aca="false">IF($C431="Banana",1,0)</f>
        <v>0</v>
      </c>
      <c r="K431" s="38" t="n">
        <f aca="false">IF($C431="Whey Protein",1,0)</f>
        <v>0</v>
      </c>
      <c r="L431" s="38" t="n">
        <f aca="false">IF(ISNUMBER(SEARCH("Copo",$C431)),1,0)</f>
        <v>0</v>
      </c>
    </row>
    <row r="432" customFormat="false" ht="15" hidden="false" customHeight="true" outlineLevel="0" collapsed="false">
      <c r="A432" s="33"/>
      <c r="B432" s="35" t="str">
        <f aca="false">IF($C432="","",IFERROR(INDEX(Insumos_Categoria,MATCH($C432,Insumos_Ingrediente,0)),""))</f>
        <v/>
      </c>
      <c r="C432" s="33"/>
      <c r="D432" s="33"/>
      <c r="E432" s="35" t="str">
        <f aca="false">IF($C432="","",IFERROR(INDEX(Insumos_Unidade,MATCH($C432,Insumos_Ingrediente,0)),""))</f>
        <v/>
      </c>
      <c r="F432" s="19" t="n">
        <f aca="false">IFERROR(INDEX(Insumos_CustoUnit,MATCH($C432,Insumos_Ingrediente,0)),0)</f>
        <v>0</v>
      </c>
      <c r="G432" s="19" t="n">
        <f aca="false">$D432*$F432</f>
        <v>0</v>
      </c>
      <c r="H432" s="38" t="n">
        <f aca="false">IF(OR($E432="g",$E432="ml"),$D432,0)</f>
        <v>0</v>
      </c>
      <c r="I432" s="38" t="n">
        <f aca="false">IF($C432="Açaí",1,0)</f>
        <v>0</v>
      </c>
      <c r="J432" s="38" t="n">
        <f aca="false">IF($C432="Banana",1,0)</f>
        <v>0</v>
      </c>
      <c r="K432" s="38" t="n">
        <f aca="false">IF($C432="Whey Protein",1,0)</f>
        <v>0</v>
      </c>
      <c r="L432" s="38" t="n">
        <f aca="false">IF(ISNUMBER(SEARCH("Copo",$C432)),1,0)</f>
        <v>0</v>
      </c>
    </row>
    <row r="433" customFormat="false" ht="15" hidden="false" customHeight="true" outlineLevel="0" collapsed="false">
      <c r="A433" s="33"/>
      <c r="B433" s="35" t="str">
        <f aca="false">IF($C433="","",IFERROR(INDEX(Insumos_Categoria,MATCH($C433,Insumos_Ingrediente,0)),""))</f>
        <v/>
      </c>
      <c r="C433" s="33"/>
      <c r="D433" s="33"/>
      <c r="E433" s="35" t="str">
        <f aca="false">IF($C433="","",IFERROR(INDEX(Insumos_Unidade,MATCH($C433,Insumos_Ingrediente,0)),""))</f>
        <v/>
      </c>
      <c r="F433" s="19" t="n">
        <f aca="false">IFERROR(INDEX(Insumos_CustoUnit,MATCH($C433,Insumos_Ingrediente,0)),0)</f>
        <v>0</v>
      </c>
      <c r="G433" s="19" t="n">
        <f aca="false">$D433*$F433</f>
        <v>0</v>
      </c>
      <c r="H433" s="38" t="n">
        <f aca="false">IF(OR($E433="g",$E433="ml"),$D433,0)</f>
        <v>0</v>
      </c>
      <c r="I433" s="38" t="n">
        <f aca="false">IF($C433="Açaí",1,0)</f>
        <v>0</v>
      </c>
      <c r="J433" s="38" t="n">
        <f aca="false">IF($C433="Banana",1,0)</f>
        <v>0</v>
      </c>
      <c r="K433" s="38" t="n">
        <f aca="false">IF($C433="Whey Protein",1,0)</f>
        <v>0</v>
      </c>
      <c r="L433" s="38" t="n">
        <f aca="false">IF(ISNUMBER(SEARCH("Copo",$C433)),1,0)</f>
        <v>0</v>
      </c>
    </row>
    <row r="434" customFormat="false" ht="15" hidden="false" customHeight="true" outlineLevel="0" collapsed="false">
      <c r="A434" s="33"/>
      <c r="B434" s="35" t="str">
        <f aca="false">IF($C434="","",IFERROR(INDEX(Insumos_Categoria,MATCH($C434,Insumos_Ingrediente,0)),""))</f>
        <v/>
      </c>
      <c r="C434" s="33"/>
      <c r="D434" s="33"/>
      <c r="E434" s="35" t="str">
        <f aca="false">IF($C434="","",IFERROR(INDEX(Insumos_Unidade,MATCH($C434,Insumos_Ingrediente,0)),""))</f>
        <v/>
      </c>
      <c r="F434" s="19" t="n">
        <f aca="false">IFERROR(INDEX(Insumos_CustoUnit,MATCH($C434,Insumos_Ingrediente,0)),0)</f>
        <v>0</v>
      </c>
      <c r="G434" s="19" t="n">
        <f aca="false">$D434*$F434</f>
        <v>0</v>
      </c>
      <c r="H434" s="38" t="n">
        <f aca="false">IF(OR($E434="g",$E434="ml"),$D434,0)</f>
        <v>0</v>
      </c>
      <c r="I434" s="38" t="n">
        <f aca="false">IF($C434="Açaí",1,0)</f>
        <v>0</v>
      </c>
      <c r="J434" s="38" t="n">
        <f aca="false">IF($C434="Banana",1,0)</f>
        <v>0</v>
      </c>
      <c r="K434" s="38" t="n">
        <f aca="false">IF($C434="Whey Protein",1,0)</f>
        <v>0</v>
      </c>
      <c r="L434" s="38" t="n">
        <f aca="false">IF(ISNUMBER(SEARCH("Copo",$C434)),1,0)</f>
        <v>0</v>
      </c>
    </row>
    <row r="435" customFormat="false" ht="15" hidden="false" customHeight="true" outlineLevel="0" collapsed="false">
      <c r="A435" s="33"/>
      <c r="B435" s="35" t="str">
        <f aca="false">IF($C435="","",IFERROR(INDEX(Insumos_Categoria,MATCH($C435,Insumos_Ingrediente,0)),""))</f>
        <v/>
      </c>
      <c r="C435" s="33"/>
      <c r="D435" s="33"/>
      <c r="E435" s="35" t="str">
        <f aca="false">IF($C435="","",IFERROR(INDEX(Insumos_Unidade,MATCH($C435,Insumos_Ingrediente,0)),""))</f>
        <v/>
      </c>
      <c r="F435" s="19" t="n">
        <f aca="false">IFERROR(INDEX(Insumos_CustoUnit,MATCH($C435,Insumos_Ingrediente,0)),0)</f>
        <v>0</v>
      </c>
      <c r="G435" s="19" t="n">
        <f aca="false">$D435*$F435</f>
        <v>0</v>
      </c>
      <c r="H435" s="38" t="n">
        <f aca="false">IF(OR($E435="g",$E435="ml"),$D435,0)</f>
        <v>0</v>
      </c>
      <c r="I435" s="38" t="n">
        <f aca="false">IF($C435="Açaí",1,0)</f>
        <v>0</v>
      </c>
      <c r="J435" s="38" t="n">
        <f aca="false">IF($C435="Banana",1,0)</f>
        <v>0</v>
      </c>
      <c r="K435" s="38" t="n">
        <f aca="false">IF($C435="Whey Protein",1,0)</f>
        <v>0</v>
      </c>
      <c r="L435" s="38" t="n">
        <f aca="false">IF(ISNUMBER(SEARCH("Copo",$C435)),1,0)</f>
        <v>0</v>
      </c>
    </row>
    <row r="436" customFormat="false" ht="15" hidden="false" customHeight="true" outlineLevel="0" collapsed="false">
      <c r="A436" s="33"/>
      <c r="B436" s="35" t="str">
        <f aca="false">IF($C436="","",IFERROR(INDEX(Insumos_Categoria,MATCH($C436,Insumos_Ingrediente,0)),""))</f>
        <v/>
      </c>
      <c r="C436" s="33"/>
      <c r="D436" s="33"/>
      <c r="E436" s="35" t="str">
        <f aca="false">IF($C436="","",IFERROR(INDEX(Insumos_Unidade,MATCH($C436,Insumos_Ingrediente,0)),""))</f>
        <v/>
      </c>
      <c r="F436" s="19" t="n">
        <f aca="false">IFERROR(INDEX(Insumos_CustoUnit,MATCH($C436,Insumos_Ingrediente,0)),0)</f>
        <v>0</v>
      </c>
      <c r="G436" s="19" t="n">
        <f aca="false">$D436*$F436</f>
        <v>0</v>
      </c>
      <c r="H436" s="38" t="n">
        <f aca="false">IF(OR($E436="g",$E436="ml"),$D436,0)</f>
        <v>0</v>
      </c>
      <c r="I436" s="38" t="n">
        <f aca="false">IF($C436="Açaí",1,0)</f>
        <v>0</v>
      </c>
      <c r="J436" s="38" t="n">
        <f aca="false">IF($C436="Banana",1,0)</f>
        <v>0</v>
      </c>
      <c r="K436" s="38" t="n">
        <f aca="false">IF($C436="Whey Protein",1,0)</f>
        <v>0</v>
      </c>
      <c r="L436" s="38" t="n">
        <f aca="false">IF(ISNUMBER(SEARCH("Copo",$C436)),1,0)</f>
        <v>0</v>
      </c>
    </row>
    <row r="437" customFormat="false" ht="15" hidden="false" customHeight="true" outlineLevel="0" collapsed="false">
      <c r="A437" s="33"/>
      <c r="B437" s="35" t="str">
        <f aca="false">IF($C437="","",IFERROR(INDEX(Insumos_Categoria,MATCH($C437,Insumos_Ingrediente,0)),""))</f>
        <v/>
      </c>
      <c r="C437" s="33"/>
      <c r="D437" s="33"/>
      <c r="E437" s="35" t="str">
        <f aca="false">IF($C437="","",IFERROR(INDEX(Insumos_Unidade,MATCH($C437,Insumos_Ingrediente,0)),""))</f>
        <v/>
      </c>
      <c r="F437" s="19" t="n">
        <f aca="false">IFERROR(INDEX(Insumos_CustoUnit,MATCH($C437,Insumos_Ingrediente,0)),0)</f>
        <v>0</v>
      </c>
      <c r="G437" s="19" t="n">
        <f aca="false">$D437*$F437</f>
        <v>0</v>
      </c>
      <c r="H437" s="38" t="n">
        <f aca="false">IF(OR($E437="g",$E437="ml"),$D437,0)</f>
        <v>0</v>
      </c>
      <c r="I437" s="38" t="n">
        <f aca="false">IF($C437="Açaí",1,0)</f>
        <v>0</v>
      </c>
      <c r="J437" s="38" t="n">
        <f aca="false">IF($C437="Banana",1,0)</f>
        <v>0</v>
      </c>
      <c r="K437" s="38" t="n">
        <f aca="false">IF($C437="Whey Protein",1,0)</f>
        <v>0</v>
      </c>
      <c r="L437" s="38" t="n">
        <f aca="false">IF(ISNUMBER(SEARCH("Copo",$C437)),1,0)</f>
        <v>0</v>
      </c>
    </row>
    <row r="438" customFormat="false" ht="15" hidden="false" customHeight="true" outlineLevel="0" collapsed="false">
      <c r="A438" s="33"/>
      <c r="B438" s="35" t="str">
        <f aca="false">IF($C438="","",IFERROR(INDEX(Insumos_Categoria,MATCH($C438,Insumos_Ingrediente,0)),""))</f>
        <v/>
      </c>
      <c r="C438" s="33"/>
      <c r="D438" s="33"/>
      <c r="E438" s="35" t="str">
        <f aca="false">IF($C438="","",IFERROR(INDEX(Insumos_Unidade,MATCH($C438,Insumos_Ingrediente,0)),""))</f>
        <v/>
      </c>
      <c r="F438" s="19" t="n">
        <f aca="false">IFERROR(INDEX(Insumos_CustoUnit,MATCH($C438,Insumos_Ingrediente,0)),0)</f>
        <v>0</v>
      </c>
      <c r="G438" s="19" t="n">
        <f aca="false">$D438*$F438</f>
        <v>0</v>
      </c>
      <c r="H438" s="38" t="n">
        <f aca="false">IF(OR($E438="g",$E438="ml"),$D438,0)</f>
        <v>0</v>
      </c>
      <c r="I438" s="38" t="n">
        <f aca="false">IF($C438="Açaí",1,0)</f>
        <v>0</v>
      </c>
      <c r="J438" s="38" t="n">
        <f aca="false">IF($C438="Banana",1,0)</f>
        <v>0</v>
      </c>
      <c r="K438" s="38" t="n">
        <f aca="false">IF($C438="Whey Protein",1,0)</f>
        <v>0</v>
      </c>
      <c r="L438" s="38" t="n">
        <f aca="false">IF(ISNUMBER(SEARCH("Copo",$C438)),1,0)</f>
        <v>0</v>
      </c>
    </row>
    <row r="439" customFormat="false" ht="15" hidden="false" customHeight="true" outlineLevel="0" collapsed="false">
      <c r="A439" s="33"/>
      <c r="B439" s="35" t="str">
        <f aca="false">IF($C439="","",IFERROR(INDEX(Insumos_Categoria,MATCH($C439,Insumos_Ingrediente,0)),""))</f>
        <v/>
      </c>
      <c r="C439" s="33"/>
      <c r="D439" s="33"/>
      <c r="E439" s="35" t="str">
        <f aca="false">IF($C439="","",IFERROR(INDEX(Insumos_Unidade,MATCH($C439,Insumos_Ingrediente,0)),""))</f>
        <v/>
      </c>
      <c r="F439" s="19" t="n">
        <f aca="false">IFERROR(INDEX(Insumos_CustoUnit,MATCH($C439,Insumos_Ingrediente,0)),0)</f>
        <v>0</v>
      </c>
      <c r="G439" s="19" t="n">
        <f aca="false">$D439*$F439</f>
        <v>0</v>
      </c>
      <c r="H439" s="38" t="n">
        <f aca="false">IF(OR($E439="g",$E439="ml"),$D439,0)</f>
        <v>0</v>
      </c>
      <c r="I439" s="38" t="n">
        <f aca="false">IF($C439="Açaí",1,0)</f>
        <v>0</v>
      </c>
      <c r="J439" s="38" t="n">
        <f aca="false">IF($C439="Banana",1,0)</f>
        <v>0</v>
      </c>
      <c r="K439" s="38" t="n">
        <f aca="false">IF($C439="Whey Protein",1,0)</f>
        <v>0</v>
      </c>
      <c r="L439" s="38" t="n">
        <f aca="false">IF(ISNUMBER(SEARCH("Copo",$C439)),1,0)</f>
        <v>0</v>
      </c>
    </row>
    <row r="440" customFormat="false" ht="15" hidden="false" customHeight="true" outlineLevel="0" collapsed="false">
      <c r="A440" s="33"/>
      <c r="B440" s="35" t="str">
        <f aca="false">IF($C440="","",IFERROR(INDEX(Insumos_Categoria,MATCH($C440,Insumos_Ingrediente,0)),""))</f>
        <v/>
      </c>
      <c r="C440" s="33"/>
      <c r="D440" s="33"/>
      <c r="E440" s="35" t="str">
        <f aca="false">IF($C440="","",IFERROR(INDEX(Insumos_Unidade,MATCH($C440,Insumos_Ingrediente,0)),""))</f>
        <v/>
      </c>
      <c r="F440" s="19" t="n">
        <f aca="false">IFERROR(INDEX(Insumos_CustoUnit,MATCH($C440,Insumos_Ingrediente,0)),0)</f>
        <v>0</v>
      </c>
      <c r="G440" s="19" t="n">
        <f aca="false">$D440*$F440</f>
        <v>0</v>
      </c>
      <c r="H440" s="38" t="n">
        <f aca="false">IF(OR($E440="g",$E440="ml"),$D440,0)</f>
        <v>0</v>
      </c>
      <c r="I440" s="38" t="n">
        <f aca="false">IF($C440="Açaí",1,0)</f>
        <v>0</v>
      </c>
      <c r="J440" s="38" t="n">
        <f aca="false">IF($C440="Banana",1,0)</f>
        <v>0</v>
      </c>
      <c r="K440" s="38" t="n">
        <f aca="false">IF($C440="Whey Protein",1,0)</f>
        <v>0</v>
      </c>
      <c r="L440" s="38" t="n">
        <f aca="false">IF(ISNUMBER(SEARCH("Copo",$C440)),1,0)</f>
        <v>0</v>
      </c>
    </row>
    <row r="441" customFormat="false" ht="15" hidden="false" customHeight="true" outlineLevel="0" collapsed="false">
      <c r="A441" s="33"/>
      <c r="B441" s="35" t="str">
        <f aca="false">IF($C441="","",IFERROR(INDEX(Insumos_Categoria,MATCH($C441,Insumos_Ingrediente,0)),""))</f>
        <v/>
      </c>
      <c r="C441" s="33"/>
      <c r="D441" s="33"/>
      <c r="E441" s="35" t="str">
        <f aca="false">IF($C441="","",IFERROR(INDEX(Insumos_Unidade,MATCH($C441,Insumos_Ingrediente,0)),""))</f>
        <v/>
      </c>
      <c r="F441" s="19" t="n">
        <f aca="false">IFERROR(INDEX(Insumos_CustoUnit,MATCH($C441,Insumos_Ingrediente,0)),0)</f>
        <v>0</v>
      </c>
      <c r="G441" s="19" t="n">
        <f aca="false">$D441*$F441</f>
        <v>0</v>
      </c>
      <c r="H441" s="38" t="n">
        <f aca="false">IF(OR($E441="g",$E441="ml"),$D441,0)</f>
        <v>0</v>
      </c>
      <c r="I441" s="38" t="n">
        <f aca="false">IF($C441="Açaí",1,0)</f>
        <v>0</v>
      </c>
      <c r="J441" s="38" t="n">
        <f aca="false">IF($C441="Banana",1,0)</f>
        <v>0</v>
      </c>
      <c r="K441" s="38" t="n">
        <f aca="false">IF($C441="Whey Protein",1,0)</f>
        <v>0</v>
      </c>
      <c r="L441" s="38" t="n">
        <f aca="false">IF(ISNUMBER(SEARCH("Copo",$C441)),1,0)</f>
        <v>0</v>
      </c>
    </row>
    <row r="442" customFormat="false" ht="15" hidden="false" customHeight="true" outlineLevel="0" collapsed="false">
      <c r="A442" s="33"/>
      <c r="B442" s="35" t="str">
        <f aca="false">IF($C442="","",IFERROR(INDEX(Insumos_Categoria,MATCH($C442,Insumos_Ingrediente,0)),""))</f>
        <v/>
      </c>
      <c r="C442" s="33"/>
      <c r="D442" s="33"/>
      <c r="E442" s="35" t="str">
        <f aca="false">IF($C442="","",IFERROR(INDEX(Insumos_Unidade,MATCH($C442,Insumos_Ingrediente,0)),""))</f>
        <v/>
      </c>
      <c r="F442" s="19" t="n">
        <f aca="false">IFERROR(INDEX(Insumos_CustoUnit,MATCH($C442,Insumos_Ingrediente,0)),0)</f>
        <v>0</v>
      </c>
      <c r="G442" s="19" t="n">
        <f aca="false">$D442*$F442</f>
        <v>0</v>
      </c>
      <c r="H442" s="38" t="n">
        <f aca="false">IF(OR($E442="g",$E442="ml"),$D442,0)</f>
        <v>0</v>
      </c>
      <c r="I442" s="38" t="n">
        <f aca="false">IF($C442="Açaí",1,0)</f>
        <v>0</v>
      </c>
      <c r="J442" s="38" t="n">
        <f aca="false">IF($C442="Banana",1,0)</f>
        <v>0</v>
      </c>
      <c r="K442" s="38" t="n">
        <f aca="false">IF($C442="Whey Protein",1,0)</f>
        <v>0</v>
      </c>
      <c r="L442" s="38" t="n">
        <f aca="false">IF(ISNUMBER(SEARCH("Copo",$C442)),1,0)</f>
        <v>0</v>
      </c>
    </row>
    <row r="443" customFormat="false" ht="15" hidden="false" customHeight="true" outlineLevel="0" collapsed="false">
      <c r="A443" s="33"/>
      <c r="B443" s="35" t="str">
        <f aca="false">IF($C443="","",IFERROR(INDEX(Insumos_Categoria,MATCH($C443,Insumos_Ingrediente,0)),""))</f>
        <v/>
      </c>
      <c r="C443" s="33"/>
      <c r="D443" s="33"/>
      <c r="E443" s="35" t="str">
        <f aca="false">IF($C443="","",IFERROR(INDEX(Insumos_Unidade,MATCH($C443,Insumos_Ingrediente,0)),""))</f>
        <v/>
      </c>
      <c r="F443" s="19" t="n">
        <f aca="false">IFERROR(INDEX(Insumos_CustoUnit,MATCH($C443,Insumos_Ingrediente,0)),0)</f>
        <v>0</v>
      </c>
      <c r="G443" s="19" t="n">
        <f aca="false">$D443*$F443</f>
        <v>0</v>
      </c>
      <c r="H443" s="38" t="n">
        <f aca="false">IF(OR($E443="g",$E443="ml"),$D443,0)</f>
        <v>0</v>
      </c>
      <c r="I443" s="38" t="n">
        <f aca="false">IF($C443="Açaí",1,0)</f>
        <v>0</v>
      </c>
      <c r="J443" s="38" t="n">
        <f aca="false">IF($C443="Banana",1,0)</f>
        <v>0</v>
      </c>
      <c r="K443" s="38" t="n">
        <f aca="false">IF($C443="Whey Protein",1,0)</f>
        <v>0</v>
      </c>
      <c r="L443" s="38" t="n">
        <f aca="false">IF(ISNUMBER(SEARCH("Copo",$C443)),1,0)</f>
        <v>0</v>
      </c>
    </row>
    <row r="444" customFormat="false" ht="15" hidden="false" customHeight="true" outlineLevel="0" collapsed="false">
      <c r="A444" s="33"/>
      <c r="B444" s="35" t="str">
        <f aca="false">IF($C444="","",IFERROR(INDEX(Insumos_Categoria,MATCH($C444,Insumos_Ingrediente,0)),""))</f>
        <v/>
      </c>
      <c r="C444" s="33"/>
      <c r="D444" s="33"/>
      <c r="E444" s="35" t="str">
        <f aca="false">IF($C444="","",IFERROR(INDEX(Insumos_Unidade,MATCH($C444,Insumos_Ingrediente,0)),""))</f>
        <v/>
      </c>
      <c r="F444" s="19" t="n">
        <f aca="false">IFERROR(INDEX(Insumos_CustoUnit,MATCH($C444,Insumos_Ingrediente,0)),0)</f>
        <v>0</v>
      </c>
      <c r="G444" s="19" t="n">
        <f aca="false">$D444*$F444</f>
        <v>0</v>
      </c>
      <c r="H444" s="38" t="n">
        <f aca="false">IF(OR($E444="g",$E444="ml"),$D444,0)</f>
        <v>0</v>
      </c>
      <c r="I444" s="38" t="n">
        <f aca="false">IF($C444="Açaí",1,0)</f>
        <v>0</v>
      </c>
      <c r="J444" s="38" t="n">
        <f aca="false">IF($C444="Banana",1,0)</f>
        <v>0</v>
      </c>
      <c r="K444" s="38" t="n">
        <f aca="false">IF($C444="Whey Protein",1,0)</f>
        <v>0</v>
      </c>
      <c r="L444" s="38" t="n">
        <f aca="false">IF(ISNUMBER(SEARCH("Copo",$C444)),1,0)</f>
        <v>0</v>
      </c>
    </row>
    <row r="445" customFormat="false" ht="15" hidden="false" customHeight="true" outlineLevel="0" collapsed="false">
      <c r="A445" s="33"/>
      <c r="B445" s="35" t="str">
        <f aca="false">IF($C445="","",IFERROR(INDEX(Insumos_Categoria,MATCH($C445,Insumos_Ingrediente,0)),""))</f>
        <v/>
      </c>
      <c r="C445" s="33"/>
      <c r="D445" s="33"/>
      <c r="E445" s="35" t="str">
        <f aca="false">IF($C445="","",IFERROR(INDEX(Insumos_Unidade,MATCH($C445,Insumos_Ingrediente,0)),""))</f>
        <v/>
      </c>
      <c r="F445" s="19" t="n">
        <f aca="false">IFERROR(INDEX(Insumos_CustoUnit,MATCH($C445,Insumos_Ingrediente,0)),0)</f>
        <v>0</v>
      </c>
      <c r="G445" s="19" t="n">
        <f aca="false">$D445*$F445</f>
        <v>0</v>
      </c>
      <c r="H445" s="38" t="n">
        <f aca="false">IF(OR($E445="g",$E445="ml"),$D445,0)</f>
        <v>0</v>
      </c>
      <c r="I445" s="38" t="n">
        <f aca="false">IF($C445="Açaí",1,0)</f>
        <v>0</v>
      </c>
      <c r="J445" s="38" t="n">
        <f aca="false">IF($C445="Banana",1,0)</f>
        <v>0</v>
      </c>
      <c r="K445" s="38" t="n">
        <f aca="false">IF($C445="Whey Protein",1,0)</f>
        <v>0</v>
      </c>
      <c r="L445" s="38" t="n">
        <f aca="false">IF(ISNUMBER(SEARCH("Copo",$C445)),1,0)</f>
        <v>0</v>
      </c>
    </row>
    <row r="446" customFormat="false" ht="15" hidden="false" customHeight="true" outlineLevel="0" collapsed="false">
      <c r="A446" s="33"/>
      <c r="B446" s="35" t="str">
        <f aca="false">IF($C446="","",IFERROR(INDEX(Insumos_Categoria,MATCH($C446,Insumos_Ingrediente,0)),""))</f>
        <v/>
      </c>
      <c r="C446" s="33"/>
      <c r="D446" s="33"/>
      <c r="E446" s="35" t="str">
        <f aca="false">IF($C446="","",IFERROR(INDEX(Insumos_Unidade,MATCH($C446,Insumos_Ingrediente,0)),""))</f>
        <v/>
      </c>
      <c r="F446" s="19" t="n">
        <f aca="false">IFERROR(INDEX(Insumos_CustoUnit,MATCH($C446,Insumos_Ingrediente,0)),0)</f>
        <v>0</v>
      </c>
      <c r="G446" s="19" t="n">
        <f aca="false">$D446*$F446</f>
        <v>0</v>
      </c>
      <c r="H446" s="38" t="n">
        <f aca="false">IF(OR($E446="g",$E446="ml"),$D446,0)</f>
        <v>0</v>
      </c>
      <c r="I446" s="38" t="n">
        <f aca="false">IF($C446="Açaí",1,0)</f>
        <v>0</v>
      </c>
      <c r="J446" s="38" t="n">
        <f aca="false">IF($C446="Banana",1,0)</f>
        <v>0</v>
      </c>
      <c r="K446" s="38" t="n">
        <f aca="false">IF($C446="Whey Protein",1,0)</f>
        <v>0</v>
      </c>
      <c r="L446" s="38" t="n">
        <f aca="false">IF(ISNUMBER(SEARCH("Copo",$C446)),1,0)</f>
        <v>0</v>
      </c>
    </row>
    <row r="447" customFormat="false" ht="15" hidden="false" customHeight="true" outlineLevel="0" collapsed="false">
      <c r="A447" s="33"/>
      <c r="B447" s="35" t="str">
        <f aca="false">IF($C447="","",IFERROR(INDEX(Insumos_Categoria,MATCH($C447,Insumos_Ingrediente,0)),""))</f>
        <v/>
      </c>
      <c r="C447" s="33"/>
      <c r="D447" s="33"/>
      <c r="E447" s="35" t="str">
        <f aca="false">IF($C447="","",IFERROR(INDEX(Insumos_Unidade,MATCH($C447,Insumos_Ingrediente,0)),""))</f>
        <v/>
      </c>
      <c r="F447" s="19" t="n">
        <f aca="false">IFERROR(INDEX(Insumos_CustoUnit,MATCH($C447,Insumos_Ingrediente,0)),0)</f>
        <v>0</v>
      </c>
      <c r="G447" s="19" t="n">
        <f aca="false">$D447*$F447</f>
        <v>0</v>
      </c>
      <c r="H447" s="38" t="n">
        <f aca="false">IF(OR($E447="g",$E447="ml"),$D447,0)</f>
        <v>0</v>
      </c>
      <c r="I447" s="38" t="n">
        <f aca="false">IF($C447="Açaí",1,0)</f>
        <v>0</v>
      </c>
      <c r="J447" s="38" t="n">
        <f aca="false">IF($C447="Banana",1,0)</f>
        <v>0</v>
      </c>
      <c r="K447" s="38" t="n">
        <f aca="false">IF($C447="Whey Protein",1,0)</f>
        <v>0</v>
      </c>
      <c r="L447" s="38" t="n">
        <f aca="false">IF(ISNUMBER(SEARCH("Copo",$C447)),1,0)</f>
        <v>0</v>
      </c>
    </row>
    <row r="448" customFormat="false" ht="15" hidden="false" customHeight="true" outlineLevel="0" collapsed="false">
      <c r="A448" s="33"/>
      <c r="B448" s="35" t="str">
        <f aca="false">IF($C448="","",IFERROR(INDEX(Insumos_Categoria,MATCH($C448,Insumos_Ingrediente,0)),""))</f>
        <v/>
      </c>
      <c r="C448" s="33"/>
      <c r="D448" s="33"/>
      <c r="E448" s="35" t="str">
        <f aca="false">IF($C448="","",IFERROR(INDEX(Insumos_Unidade,MATCH($C448,Insumos_Ingrediente,0)),""))</f>
        <v/>
      </c>
      <c r="F448" s="19" t="n">
        <f aca="false">IFERROR(INDEX(Insumos_CustoUnit,MATCH($C448,Insumos_Ingrediente,0)),0)</f>
        <v>0</v>
      </c>
      <c r="G448" s="19" t="n">
        <f aca="false">$D448*$F448</f>
        <v>0</v>
      </c>
      <c r="H448" s="38" t="n">
        <f aca="false">IF(OR($E448="g",$E448="ml"),$D448,0)</f>
        <v>0</v>
      </c>
      <c r="I448" s="38" t="n">
        <f aca="false">IF($C448="Açaí",1,0)</f>
        <v>0</v>
      </c>
      <c r="J448" s="38" t="n">
        <f aca="false">IF($C448="Banana",1,0)</f>
        <v>0</v>
      </c>
      <c r="K448" s="38" t="n">
        <f aca="false">IF($C448="Whey Protein",1,0)</f>
        <v>0</v>
      </c>
      <c r="L448" s="38" t="n">
        <f aca="false">IF(ISNUMBER(SEARCH("Copo",$C448)),1,0)</f>
        <v>0</v>
      </c>
    </row>
    <row r="449" customFormat="false" ht="15" hidden="false" customHeight="true" outlineLevel="0" collapsed="false">
      <c r="A449" s="33"/>
      <c r="B449" s="35" t="str">
        <f aca="false">IF($C449="","",IFERROR(INDEX(Insumos_Categoria,MATCH($C449,Insumos_Ingrediente,0)),""))</f>
        <v/>
      </c>
      <c r="C449" s="33"/>
      <c r="D449" s="33"/>
      <c r="E449" s="35" t="str">
        <f aca="false">IF($C449="","",IFERROR(INDEX(Insumos_Unidade,MATCH($C449,Insumos_Ingrediente,0)),""))</f>
        <v/>
      </c>
      <c r="F449" s="19" t="n">
        <f aca="false">IFERROR(INDEX(Insumos_CustoUnit,MATCH($C449,Insumos_Ingrediente,0)),0)</f>
        <v>0</v>
      </c>
      <c r="G449" s="19" t="n">
        <f aca="false">$D449*$F449</f>
        <v>0</v>
      </c>
      <c r="H449" s="38" t="n">
        <f aca="false">IF(OR($E449="g",$E449="ml"),$D449,0)</f>
        <v>0</v>
      </c>
      <c r="I449" s="38" t="n">
        <f aca="false">IF($C449="Açaí",1,0)</f>
        <v>0</v>
      </c>
      <c r="J449" s="38" t="n">
        <f aca="false">IF($C449="Banana",1,0)</f>
        <v>0</v>
      </c>
      <c r="K449" s="38" t="n">
        <f aca="false">IF($C449="Whey Protein",1,0)</f>
        <v>0</v>
      </c>
      <c r="L449" s="38" t="n">
        <f aca="false">IF(ISNUMBER(SEARCH("Copo",$C449)),1,0)</f>
        <v>0</v>
      </c>
    </row>
    <row r="450" customFormat="false" ht="15" hidden="false" customHeight="true" outlineLevel="0" collapsed="false">
      <c r="A450" s="33"/>
      <c r="B450" s="35" t="str">
        <f aca="false">IF($C450="","",IFERROR(INDEX(Insumos_Categoria,MATCH($C450,Insumos_Ingrediente,0)),""))</f>
        <v/>
      </c>
      <c r="C450" s="33"/>
      <c r="D450" s="33"/>
      <c r="E450" s="35" t="str">
        <f aca="false">IF($C450="","",IFERROR(INDEX(Insumos_Unidade,MATCH($C450,Insumos_Ingrediente,0)),""))</f>
        <v/>
      </c>
      <c r="F450" s="19" t="n">
        <f aca="false">IFERROR(INDEX(Insumos_CustoUnit,MATCH($C450,Insumos_Ingrediente,0)),0)</f>
        <v>0</v>
      </c>
      <c r="G450" s="19" t="n">
        <f aca="false">$D450*$F450</f>
        <v>0</v>
      </c>
      <c r="H450" s="38" t="n">
        <f aca="false">IF(OR($E450="g",$E450="ml"),$D450,0)</f>
        <v>0</v>
      </c>
      <c r="I450" s="38" t="n">
        <f aca="false">IF($C450="Açaí",1,0)</f>
        <v>0</v>
      </c>
      <c r="J450" s="38" t="n">
        <f aca="false">IF($C450="Banana",1,0)</f>
        <v>0</v>
      </c>
      <c r="K450" s="38" t="n">
        <f aca="false">IF($C450="Whey Protein",1,0)</f>
        <v>0</v>
      </c>
      <c r="L450" s="38" t="n">
        <f aca="false">IF(ISNUMBER(SEARCH("Copo",$C450)),1,0)</f>
        <v>0</v>
      </c>
    </row>
    <row r="451" customFormat="false" ht="15" hidden="false" customHeight="true" outlineLevel="0" collapsed="false">
      <c r="A451" s="33"/>
      <c r="B451" s="35" t="str">
        <f aca="false">IF($C451="","",IFERROR(INDEX(Insumos_Categoria,MATCH($C451,Insumos_Ingrediente,0)),""))</f>
        <v/>
      </c>
      <c r="C451" s="33"/>
      <c r="D451" s="33"/>
      <c r="E451" s="35" t="str">
        <f aca="false">IF($C451="","",IFERROR(INDEX(Insumos_Unidade,MATCH($C451,Insumos_Ingrediente,0)),""))</f>
        <v/>
      </c>
      <c r="F451" s="19" t="n">
        <f aca="false">IFERROR(INDEX(Insumos_CustoUnit,MATCH($C451,Insumos_Ingrediente,0)),0)</f>
        <v>0</v>
      </c>
      <c r="G451" s="19" t="n">
        <f aca="false">$D451*$F451</f>
        <v>0</v>
      </c>
      <c r="H451" s="38" t="n">
        <f aca="false">IF(OR($E451="g",$E451="ml"),$D451,0)</f>
        <v>0</v>
      </c>
      <c r="I451" s="38" t="n">
        <f aca="false">IF($C451="Açaí",1,0)</f>
        <v>0</v>
      </c>
      <c r="J451" s="38" t="n">
        <f aca="false">IF($C451="Banana",1,0)</f>
        <v>0</v>
      </c>
      <c r="K451" s="38" t="n">
        <f aca="false">IF($C451="Whey Protein",1,0)</f>
        <v>0</v>
      </c>
      <c r="L451" s="38" t="n">
        <f aca="false">IF(ISNUMBER(SEARCH("Copo",$C451)),1,0)</f>
        <v>0</v>
      </c>
    </row>
    <row r="452" customFormat="false" ht="15" hidden="false" customHeight="true" outlineLevel="0" collapsed="false">
      <c r="A452" s="33"/>
      <c r="B452" s="35" t="str">
        <f aca="false">IF($C452="","",IFERROR(INDEX(Insumos_Categoria,MATCH($C452,Insumos_Ingrediente,0)),""))</f>
        <v/>
      </c>
      <c r="C452" s="33"/>
      <c r="D452" s="33"/>
      <c r="E452" s="35" t="str">
        <f aca="false">IF($C452="","",IFERROR(INDEX(Insumos_Unidade,MATCH($C452,Insumos_Ingrediente,0)),""))</f>
        <v/>
      </c>
      <c r="F452" s="19" t="n">
        <f aca="false">IFERROR(INDEX(Insumos_CustoUnit,MATCH($C452,Insumos_Ingrediente,0)),0)</f>
        <v>0</v>
      </c>
      <c r="G452" s="19" t="n">
        <f aca="false">$D452*$F452</f>
        <v>0</v>
      </c>
      <c r="H452" s="38" t="n">
        <f aca="false">IF(OR($E452="g",$E452="ml"),$D452,0)</f>
        <v>0</v>
      </c>
      <c r="I452" s="38" t="n">
        <f aca="false">IF($C452="Açaí",1,0)</f>
        <v>0</v>
      </c>
      <c r="J452" s="38" t="n">
        <f aca="false">IF($C452="Banana",1,0)</f>
        <v>0</v>
      </c>
      <c r="K452" s="38" t="n">
        <f aca="false">IF($C452="Whey Protein",1,0)</f>
        <v>0</v>
      </c>
      <c r="L452" s="38" t="n">
        <f aca="false">IF(ISNUMBER(SEARCH("Copo",$C452)),1,0)</f>
        <v>0</v>
      </c>
    </row>
    <row r="453" customFormat="false" ht="15" hidden="false" customHeight="true" outlineLevel="0" collapsed="false">
      <c r="A453" s="33"/>
      <c r="B453" s="35" t="str">
        <f aca="false">IF($C453="","",IFERROR(INDEX(Insumos_Categoria,MATCH($C453,Insumos_Ingrediente,0)),""))</f>
        <v/>
      </c>
      <c r="C453" s="33"/>
      <c r="D453" s="33"/>
      <c r="E453" s="35" t="str">
        <f aca="false">IF($C453="","",IFERROR(INDEX(Insumos_Unidade,MATCH($C453,Insumos_Ingrediente,0)),""))</f>
        <v/>
      </c>
      <c r="F453" s="19" t="n">
        <f aca="false">IFERROR(INDEX(Insumos_CustoUnit,MATCH($C453,Insumos_Ingrediente,0)),0)</f>
        <v>0</v>
      </c>
      <c r="G453" s="19" t="n">
        <f aca="false">$D453*$F453</f>
        <v>0</v>
      </c>
      <c r="H453" s="38" t="n">
        <f aca="false">IF(OR($E453="g",$E453="ml"),$D453,0)</f>
        <v>0</v>
      </c>
      <c r="I453" s="38" t="n">
        <f aca="false">IF($C453="Açaí",1,0)</f>
        <v>0</v>
      </c>
      <c r="J453" s="38" t="n">
        <f aca="false">IF($C453="Banana",1,0)</f>
        <v>0</v>
      </c>
      <c r="K453" s="38" t="n">
        <f aca="false">IF($C453="Whey Protein",1,0)</f>
        <v>0</v>
      </c>
      <c r="L453" s="38" t="n">
        <f aca="false">IF(ISNUMBER(SEARCH("Copo",$C453)),1,0)</f>
        <v>0</v>
      </c>
    </row>
    <row r="454" customFormat="false" ht="15" hidden="false" customHeight="true" outlineLevel="0" collapsed="false">
      <c r="A454" s="33"/>
      <c r="B454" s="35" t="str">
        <f aca="false">IF($C454="","",IFERROR(INDEX(Insumos_Categoria,MATCH($C454,Insumos_Ingrediente,0)),""))</f>
        <v/>
      </c>
      <c r="C454" s="33"/>
      <c r="D454" s="33"/>
      <c r="E454" s="35" t="str">
        <f aca="false">IF($C454="","",IFERROR(INDEX(Insumos_Unidade,MATCH($C454,Insumos_Ingrediente,0)),""))</f>
        <v/>
      </c>
      <c r="F454" s="19" t="n">
        <f aca="false">IFERROR(INDEX(Insumos_CustoUnit,MATCH($C454,Insumos_Ingrediente,0)),0)</f>
        <v>0</v>
      </c>
      <c r="G454" s="19" t="n">
        <f aca="false">$D454*$F454</f>
        <v>0</v>
      </c>
      <c r="H454" s="38" t="n">
        <f aca="false">IF(OR($E454="g",$E454="ml"),$D454,0)</f>
        <v>0</v>
      </c>
      <c r="I454" s="38" t="n">
        <f aca="false">IF($C454="Açaí",1,0)</f>
        <v>0</v>
      </c>
      <c r="J454" s="38" t="n">
        <f aca="false">IF($C454="Banana",1,0)</f>
        <v>0</v>
      </c>
      <c r="K454" s="38" t="n">
        <f aca="false">IF($C454="Whey Protein",1,0)</f>
        <v>0</v>
      </c>
      <c r="L454" s="38" t="n">
        <f aca="false">IF(ISNUMBER(SEARCH("Copo",$C454)),1,0)</f>
        <v>0</v>
      </c>
    </row>
    <row r="455" customFormat="false" ht="15" hidden="false" customHeight="true" outlineLevel="0" collapsed="false">
      <c r="A455" s="33"/>
      <c r="B455" s="35" t="str">
        <f aca="false">IF($C455="","",IFERROR(INDEX(Insumos_Categoria,MATCH($C455,Insumos_Ingrediente,0)),""))</f>
        <v/>
      </c>
      <c r="C455" s="33"/>
      <c r="D455" s="33"/>
      <c r="E455" s="35" t="str">
        <f aca="false">IF($C455="","",IFERROR(INDEX(Insumos_Unidade,MATCH($C455,Insumos_Ingrediente,0)),""))</f>
        <v/>
      </c>
      <c r="F455" s="19" t="n">
        <f aca="false">IFERROR(INDEX(Insumos_CustoUnit,MATCH($C455,Insumos_Ingrediente,0)),0)</f>
        <v>0</v>
      </c>
      <c r="G455" s="19" t="n">
        <f aca="false">$D455*$F455</f>
        <v>0</v>
      </c>
      <c r="H455" s="38" t="n">
        <f aca="false">IF(OR($E455="g",$E455="ml"),$D455,0)</f>
        <v>0</v>
      </c>
      <c r="I455" s="38" t="n">
        <f aca="false">IF($C455="Açaí",1,0)</f>
        <v>0</v>
      </c>
      <c r="J455" s="38" t="n">
        <f aca="false">IF($C455="Banana",1,0)</f>
        <v>0</v>
      </c>
      <c r="K455" s="38" t="n">
        <f aca="false">IF($C455="Whey Protein",1,0)</f>
        <v>0</v>
      </c>
      <c r="L455" s="38" t="n">
        <f aca="false">IF(ISNUMBER(SEARCH("Copo",$C455)),1,0)</f>
        <v>0</v>
      </c>
    </row>
    <row r="456" customFormat="false" ht="15" hidden="false" customHeight="true" outlineLevel="0" collapsed="false">
      <c r="A456" s="33"/>
      <c r="B456" s="35" t="str">
        <f aca="false">IF($C456="","",IFERROR(INDEX(Insumos_Categoria,MATCH($C456,Insumos_Ingrediente,0)),""))</f>
        <v/>
      </c>
      <c r="C456" s="33"/>
      <c r="D456" s="33"/>
      <c r="E456" s="35" t="str">
        <f aca="false">IF($C456="","",IFERROR(INDEX(Insumos_Unidade,MATCH($C456,Insumos_Ingrediente,0)),""))</f>
        <v/>
      </c>
      <c r="F456" s="19" t="n">
        <f aca="false">IFERROR(INDEX(Insumos_CustoUnit,MATCH($C456,Insumos_Ingrediente,0)),0)</f>
        <v>0</v>
      </c>
      <c r="G456" s="19" t="n">
        <f aca="false">$D456*$F456</f>
        <v>0</v>
      </c>
      <c r="H456" s="38" t="n">
        <f aca="false">IF(OR($E456="g",$E456="ml"),$D456,0)</f>
        <v>0</v>
      </c>
      <c r="I456" s="38" t="n">
        <f aca="false">IF($C456="Açaí",1,0)</f>
        <v>0</v>
      </c>
      <c r="J456" s="38" t="n">
        <f aca="false">IF($C456="Banana",1,0)</f>
        <v>0</v>
      </c>
      <c r="K456" s="38" t="n">
        <f aca="false">IF($C456="Whey Protein",1,0)</f>
        <v>0</v>
      </c>
      <c r="L456" s="38" t="n">
        <f aca="false">IF(ISNUMBER(SEARCH("Copo",$C456)),1,0)</f>
        <v>0</v>
      </c>
    </row>
    <row r="457" customFormat="false" ht="15" hidden="false" customHeight="true" outlineLevel="0" collapsed="false">
      <c r="A457" s="33"/>
      <c r="B457" s="35" t="str">
        <f aca="false">IF($C457="","",IFERROR(INDEX(Insumos_Categoria,MATCH($C457,Insumos_Ingrediente,0)),""))</f>
        <v/>
      </c>
      <c r="C457" s="33"/>
      <c r="D457" s="33"/>
      <c r="E457" s="35" t="str">
        <f aca="false">IF($C457="","",IFERROR(INDEX(Insumos_Unidade,MATCH($C457,Insumos_Ingrediente,0)),""))</f>
        <v/>
      </c>
      <c r="F457" s="19" t="n">
        <f aca="false">IFERROR(INDEX(Insumos_CustoUnit,MATCH($C457,Insumos_Ingrediente,0)),0)</f>
        <v>0</v>
      </c>
      <c r="G457" s="19" t="n">
        <f aca="false">$D457*$F457</f>
        <v>0</v>
      </c>
      <c r="H457" s="38" t="n">
        <f aca="false">IF(OR($E457="g",$E457="ml"),$D457,0)</f>
        <v>0</v>
      </c>
      <c r="I457" s="38" t="n">
        <f aca="false">IF($C457="Açaí",1,0)</f>
        <v>0</v>
      </c>
      <c r="J457" s="38" t="n">
        <f aca="false">IF($C457="Banana",1,0)</f>
        <v>0</v>
      </c>
      <c r="K457" s="38" t="n">
        <f aca="false">IF($C457="Whey Protein",1,0)</f>
        <v>0</v>
      </c>
      <c r="L457" s="38" t="n">
        <f aca="false">IF(ISNUMBER(SEARCH("Copo",$C457)),1,0)</f>
        <v>0</v>
      </c>
    </row>
    <row r="458" customFormat="false" ht="15" hidden="false" customHeight="true" outlineLevel="0" collapsed="false">
      <c r="A458" s="33"/>
      <c r="B458" s="35" t="str">
        <f aca="false">IF($C458="","",IFERROR(INDEX(Insumos_Categoria,MATCH($C458,Insumos_Ingrediente,0)),""))</f>
        <v/>
      </c>
      <c r="C458" s="33"/>
      <c r="D458" s="33"/>
      <c r="E458" s="35" t="str">
        <f aca="false">IF($C458="","",IFERROR(INDEX(Insumos_Unidade,MATCH($C458,Insumos_Ingrediente,0)),""))</f>
        <v/>
      </c>
      <c r="F458" s="19" t="n">
        <f aca="false">IFERROR(INDEX(Insumos_CustoUnit,MATCH($C458,Insumos_Ingrediente,0)),0)</f>
        <v>0</v>
      </c>
      <c r="G458" s="19" t="n">
        <f aca="false">$D458*$F458</f>
        <v>0</v>
      </c>
      <c r="H458" s="38" t="n">
        <f aca="false">IF(OR($E458="g",$E458="ml"),$D458,0)</f>
        <v>0</v>
      </c>
      <c r="I458" s="38" t="n">
        <f aca="false">IF($C458="Açaí",1,0)</f>
        <v>0</v>
      </c>
      <c r="J458" s="38" t="n">
        <f aca="false">IF($C458="Banana",1,0)</f>
        <v>0</v>
      </c>
      <c r="K458" s="38" t="n">
        <f aca="false">IF($C458="Whey Protein",1,0)</f>
        <v>0</v>
      </c>
      <c r="L458" s="38" t="n">
        <f aca="false">IF(ISNUMBER(SEARCH("Copo",$C458)),1,0)</f>
        <v>0</v>
      </c>
    </row>
    <row r="459" customFormat="false" ht="15" hidden="false" customHeight="true" outlineLevel="0" collapsed="false">
      <c r="A459" s="33"/>
      <c r="B459" s="35" t="str">
        <f aca="false">IF($C459="","",IFERROR(INDEX(Insumos_Categoria,MATCH($C459,Insumos_Ingrediente,0)),""))</f>
        <v/>
      </c>
      <c r="C459" s="33"/>
      <c r="D459" s="33"/>
      <c r="E459" s="35" t="str">
        <f aca="false">IF($C459="","",IFERROR(INDEX(Insumos_Unidade,MATCH($C459,Insumos_Ingrediente,0)),""))</f>
        <v/>
      </c>
      <c r="F459" s="19" t="n">
        <f aca="false">IFERROR(INDEX(Insumos_CustoUnit,MATCH($C459,Insumos_Ingrediente,0)),0)</f>
        <v>0</v>
      </c>
      <c r="G459" s="19" t="n">
        <f aca="false">$D459*$F459</f>
        <v>0</v>
      </c>
      <c r="H459" s="38" t="n">
        <f aca="false">IF(OR($E459="g",$E459="ml"),$D459,0)</f>
        <v>0</v>
      </c>
      <c r="I459" s="38" t="n">
        <f aca="false">IF($C459="Açaí",1,0)</f>
        <v>0</v>
      </c>
      <c r="J459" s="38" t="n">
        <f aca="false">IF($C459="Banana",1,0)</f>
        <v>0</v>
      </c>
      <c r="K459" s="38" t="n">
        <f aca="false">IF($C459="Whey Protein",1,0)</f>
        <v>0</v>
      </c>
      <c r="L459" s="38" t="n">
        <f aca="false">IF(ISNUMBER(SEARCH("Copo",$C459)),1,0)</f>
        <v>0</v>
      </c>
    </row>
    <row r="460" customFormat="false" ht="15" hidden="false" customHeight="true" outlineLevel="0" collapsed="false">
      <c r="A460" s="33"/>
      <c r="B460" s="35" t="str">
        <f aca="false">IF($C460="","",IFERROR(INDEX(Insumos_Categoria,MATCH($C460,Insumos_Ingrediente,0)),""))</f>
        <v/>
      </c>
      <c r="C460" s="33"/>
      <c r="D460" s="33"/>
      <c r="E460" s="35" t="str">
        <f aca="false">IF($C460="","",IFERROR(INDEX(Insumos_Unidade,MATCH($C460,Insumos_Ingrediente,0)),""))</f>
        <v/>
      </c>
      <c r="F460" s="19" t="n">
        <f aca="false">IFERROR(INDEX(Insumos_CustoUnit,MATCH($C460,Insumos_Ingrediente,0)),0)</f>
        <v>0</v>
      </c>
      <c r="G460" s="19" t="n">
        <f aca="false">$D460*$F460</f>
        <v>0</v>
      </c>
      <c r="H460" s="38" t="n">
        <f aca="false">IF(OR($E460="g",$E460="ml"),$D460,0)</f>
        <v>0</v>
      </c>
      <c r="I460" s="38" t="n">
        <f aca="false">IF($C460="Açaí",1,0)</f>
        <v>0</v>
      </c>
      <c r="J460" s="38" t="n">
        <f aca="false">IF($C460="Banana",1,0)</f>
        <v>0</v>
      </c>
      <c r="K460" s="38" t="n">
        <f aca="false">IF($C460="Whey Protein",1,0)</f>
        <v>0</v>
      </c>
      <c r="L460" s="38" t="n">
        <f aca="false">IF(ISNUMBER(SEARCH("Copo",$C460)),1,0)</f>
        <v>0</v>
      </c>
    </row>
    <row r="461" customFormat="false" ht="15" hidden="false" customHeight="true" outlineLevel="0" collapsed="false">
      <c r="A461" s="33"/>
      <c r="B461" s="35" t="str">
        <f aca="false">IF($C461="","",IFERROR(INDEX(Insumos_Categoria,MATCH($C461,Insumos_Ingrediente,0)),""))</f>
        <v/>
      </c>
      <c r="C461" s="33"/>
      <c r="D461" s="33"/>
      <c r="E461" s="35" t="str">
        <f aca="false">IF($C461="","",IFERROR(INDEX(Insumos_Unidade,MATCH($C461,Insumos_Ingrediente,0)),""))</f>
        <v/>
      </c>
      <c r="F461" s="19" t="n">
        <f aca="false">IFERROR(INDEX(Insumos_CustoUnit,MATCH($C461,Insumos_Ingrediente,0)),0)</f>
        <v>0</v>
      </c>
      <c r="G461" s="19" t="n">
        <f aca="false">$D461*$F461</f>
        <v>0</v>
      </c>
      <c r="H461" s="38" t="n">
        <f aca="false">IF(OR($E461="g",$E461="ml"),$D461,0)</f>
        <v>0</v>
      </c>
      <c r="I461" s="38" t="n">
        <f aca="false">IF($C461="Açaí",1,0)</f>
        <v>0</v>
      </c>
      <c r="J461" s="38" t="n">
        <f aca="false">IF($C461="Banana",1,0)</f>
        <v>0</v>
      </c>
      <c r="K461" s="38" t="n">
        <f aca="false">IF($C461="Whey Protein",1,0)</f>
        <v>0</v>
      </c>
      <c r="L461" s="38" t="n">
        <f aca="false">IF(ISNUMBER(SEARCH("Copo",$C461)),1,0)</f>
        <v>0</v>
      </c>
    </row>
    <row r="462" customFormat="false" ht="15" hidden="false" customHeight="true" outlineLevel="0" collapsed="false">
      <c r="A462" s="33"/>
      <c r="B462" s="35" t="str">
        <f aca="false">IF($C462="","",IFERROR(INDEX(Insumos_Categoria,MATCH($C462,Insumos_Ingrediente,0)),""))</f>
        <v/>
      </c>
      <c r="C462" s="33"/>
      <c r="D462" s="33"/>
      <c r="E462" s="35" t="str">
        <f aca="false">IF($C462="","",IFERROR(INDEX(Insumos_Unidade,MATCH($C462,Insumos_Ingrediente,0)),""))</f>
        <v/>
      </c>
      <c r="F462" s="19" t="n">
        <f aca="false">IFERROR(INDEX(Insumos_CustoUnit,MATCH($C462,Insumos_Ingrediente,0)),0)</f>
        <v>0</v>
      </c>
      <c r="G462" s="19" t="n">
        <f aca="false">$D462*$F462</f>
        <v>0</v>
      </c>
      <c r="H462" s="38" t="n">
        <f aca="false">IF(OR($E462="g",$E462="ml"),$D462,0)</f>
        <v>0</v>
      </c>
      <c r="I462" s="38" t="n">
        <f aca="false">IF($C462="Açaí",1,0)</f>
        <v>0</v>
      </c>
      <c r="J462" s="38" t="n">
        <f aca="false">IF($C462="Banana",1,0)</f>
        <v>0</v>
      </c>
      <c r="K462" s="38" t="n">
        <f aca="false">IF($C462="Whey Protein",1,0)</f>
        <v>0</v>
      </c>
      <c r="L462" s="38" t="n">
        <f aca="false">IF(ISNUMBER(SEARCH("Copo",$C462)),1,0)</f>
        <v>0</v>
      </c>
    </row>
    <row r="463" customFormat="false" ht="15" hidden="false" customHeight="true" outlineLevel="0" collapsed="false">
      <c r="A463" s="33"/>
      <c r="B463" s="35" t="str">
        <f aca="false">IF($C463="","",IFERROR(INDEX(Insumos_Categoria,MATCH($C463,Insumos_Ingrediente,0)),""))</f>
        <v/>
      </c>
      <c r="C463" s="33"/>
      <c r="D463" s="33"/>
      <c r="E463" s="35" t="str">
        <f aca="false">IF($C463="","",IFERROR(INDEX(Insumos_Unidade,MATCH($C463,Insumos_Ingrediente,0)),""))</f>
        <v/>
      </c>
      <c r="F463" s="19" t="n">
        <f aca="false">IFERROR(INDEX(Insumos_CustoUnit,MATCH($C463,Insumos_Ingrediente,0)),0)</f>
        <v>0</v>
      </c>
      <c r="G463" s="19" t="n">
        <f aca="false">$D463*$F463</f>
        <v>0</v>
      </c>
      <c r="H463" s="38" t="n">
        <f aca="false">IF(OR($E463="g",$E463="ml"),$D463,0)</f>
        <v>0</v>
      </c>
      <c r="I463" s="38" t="n">
        <f aca="false">IF($C463="Açaí",1,0)</f>
        <v>0</v>
      </c>
      <c r="J463" s="38" t="n">
        <f aca="false">IF($C463="Banana",1,0)</f>
        <v>0</v>
      </c>
      <c r="K463" s="38" t="n">
        <f aca="false">IF($C463="Whey Protein",1,0)</f>
        <v>0</v>
      </c>
      <c r="L463" s="38" t="n">
        <f aca="false">IF(ISNUMBER(SEARCH("Copo",$C463)),1,0)</f>
        <v>0</v>
      </c>
    </row>
    <row r="464" customFormat="false" ht="15" hidden="false" customHeight="true" outlineLevel="0" collapsed="false">
      <c r="A464" s="33"/>
      <c r="B464" s="35" t="str">
        <f aca="false">IF($C464="","",IFERROR(INDEX(Insumos_Categoria,MATCH($C464,Insumos_Ingrediente,0)),""))</f>
        <v/>
      </c>
      <c r="C464" s="33"/>
      <c r="D464" s="33"/>
      <c r="E464" s="35" t="str">
        <f aca="false">IF($C464="","",IFERROR(INDEX(Insumos_Unidade,MATCH($C464,Insumos_Ingrediente,0)),""))</f>
        <v/>
      </c>
      <c r="F464" s="19" t="n">
        <f aca="false">IFERROR(INDEX(Insumos_CustoUnit,MATCH($C464,Insumos_Ingrediente,0)),0)</f>
        <v>0</v>
      </c>
      <c r="G464" s="19" t="n">
        <f aca="false">$D464*$F464</f>
        <v>0</v>
      </c>
      <c r="H464" s="38" t="n">
        <f aca="false">IF(OR($E464="g",$E464="ml"),$D464,0)</f>
        <v>0</v>
      </c>
      <c r="I464" s="38" t="n">
        <f aca="false">IF($C464="Açaí",1,0)</f>
        <v>0</v>
      </c>
      <c r="J464" s="38" t="n">
        <f aca="false">IF($C464="Banana",1,0)</f>
        <v>0</v>
      </c>
      <c r="K464" s="38" t="n">
        <f aca="false">IF($C464="Whey Protein",1,0)</f>
        <v>0</v>
      </c>
      <c r="L464" s="38" t="n">
        <f aca="false">IF(ISNUMBER(SEARCH("Copo",$C464)),1,0)</f>
        <v>0</v>
      </c>
    </row>
    <row r="465" customFormat="false" ht="15" hidden="false" customHeight="true" outlineLevel="0" collapsed="false">
      <c r="A465" s="33"/>
      <c r="B465" s="35" t="str">
        <f aca="false">IF($C465="","",IFERROR(INDEX(Insumos_Categoria,MATCH($C465,Insumos_Ingrediente,0)),""))</f>
        <v/>
      </c>
      <c r="C465" s="33"/>
      <c r="D465" s="33"/>
      <c r="E465" s="35" t="str">
        <f aca="false">IF($C465="","",IFERROR(INDEX(Insumos_Unidade,MATCH($C465,Insumos_Ingrediente,0)),""))</f>
        <v/>
      </c>
      <c r="F465" s="19" t="n">
        <f aca="false">IFERROR(INDEX(Insumos_CustoUnit,MATCH($C465,Insumos_Ingrediente,0)),0)</f>
        <v>0</v>
      </c>
      <c r="G465" s="19" t="n">
        <f aca="false">$D465*$F465</f>
        <v>0</v>
      </c>
      <c r="H465" s="38" t="n">
        <f aca="false">IF(OR($E465="g",$E465="ml"),$D465,0)</f>
        <v>0</v>
      </c>
      <c r="I465" s="38" t="n">
        <f aca="false">IF($C465="Açaí",1,0)</f>
        <v>0</v>
      </c>
      <c r="J465" s="38" t="n">
        <f aca="false">IF($C465="Banana",1,0)</f>
        <v>0</v>
      </c>
      <c r="K465" s="38" t="n">
        <f aca="false">IF($C465="Whey Protein",1,0)</f>
        <v>0</v>
      </c>
      <c r="L465" s="38" t="n">
        <f aca="false">IF(ISNUMBER(SEARCH("Copo",$C465)),1,0)</f>
        <v>0</v>
      </c>
    </row>
    <row r="466" customFormat="false" ht="15" hidden="false" customHeight="true" outlineLevel="0" collapsed="false">
      <c r="A466" s="33"/>
      <c r="B466" s="35" t="str">
        <f aca="false">IF($C466="","",IFERROR(INDEX(Insumos_Categoria,MATCH($C466,Insumos_Ingrediente,0)),""))</f>
        <v/>
      </c>
      <c r="C466" s="33"/>
      <c r="D466" s="33"/>
      <c r="E466" s="35" t="str">
        <f aca="false">IF($C466="","",IFERROR(INDEX(Insumos_Unidade,MATCH($C466,Insumos_Ingrediente,0)),""))</f>
        <v/>
      </c>
      <c r="F466" s="19" t="n">
        <f aca="false">IFERROR(INDEX(Insumos_CustoUnit,MATCH($C466,Insumos_Ingrediente,0)),0)</f>
        <v>0</v>
      </c>
      <c r="G466" s="19" t="n">
        <f aca="false">$D466*$F466</f>
        <v>0</v>
      </c>
      <c r="H466" s="38" t="n">
        <f aca="false">IF(OR($E466="g",$E466="ml"),$D466,0)</f>
        <v>0</v>
      </c>
      <c r="I466" s="38" t="n">
        <f aca="false">IF($C466="Açaí",1,0)</f>
        <v>0</v>
      </c>
      <c r="J466" s="38" t="n">
        <f aca="false">IF($C466="Banana",1,0)</f>
        <v>0</v>
      </c>
      <c r="K466" s="38" t="n">
        <f aca="false">IF($C466="Whey Protein",1,0)</f>
        <v>0</v>
      </c>
      <c r="L466" s="38" t="n">
        <f aca="false">IF(ISNUMBER(SEARCH("Copo",$C466)),1,0)</f>
        <v>0</v>
      </c>
    </row>
    <row r="467" customFormat="false" ht="15" hidden="false" customHeight="true" outlineLevel="0" collapsed="false">
      <c r="A467" s="33"/>
      <c r="B467" s="35" t="str">
        <f aca="false">IF($C467="","",IFERROR(INDEX(Insumos_Categoria,MATCH($C467,Insumos_Ingrediente,0)),""))</f>
        <v/>
      </c>
      <c r="C467" s="33"/>
      <c r="D467" s="33"/>
      <c r="E467" s="35" t="str">
        <f aca="false">IF($C467="","",IFERROR(INDEX(Insumos_Unidade,MATCH($C467,Insumos_Ingrediente,0)),""))</f>
        <v/>
      </c>
      <c r="F467" s="19" t="n">
        <f aca="false">IFERROR(INDEX(Insumos_CustoUnit,MATCH($C467,Insumos_Ingrediente,0)),0)</f>
        <v>0</v>
      </c>
      <c r="G467" s="19" t="n">
        <f aca="false">$D467*$F467</f>
        <v>0</v>
      </c>
      <c r="H467" s="38" t="n">
        <f aca="false">IF(OR($E467="g",$E467="ml"),$D467,0)</f>
        <v>0</v>
      </c>
      <c r="I467" s="38" t="n">
        <f aca="false">IF($C467="Açaí",1,0)</f>
        <v>0</v>
      </c>
      <c r="J467" s="38" t="n">
        <f aca="false">IF($C467="Banana",1,0)</f>
        <v>0</v>
      </c>
      <c r="K467" s="38" t="n">
        <f aca="false">IF($C467="Whey Protein",1,0)</f>
        <v>0</v>
      </c>
      <c r="L467" s="38" t="n">
        <f aca="false">IF(ISNUMBER(SEARCH("Copo",$C467)),1,0)</f>
        <v>0</v>
      </c>
    </row>
    <row r="468" customFormat="false" ht="15" hidden="false" customHeight="true" outlineLevel="0" collapsed="false">
      <c r="A468" s="33"/>
      <c r="B468" s="35" t="str">
        <f aca="false">IF($C468="","",IFERROR(INDEX(Insumos_Categoria,MATCH($C468,Insumos_Ingrediente,0)),""))</f>
        <v/>
      </c>
      <c r="C468" s="33"/>
      <c r="D468" s="33"/>
      <c r="E468" s="35" t="str">
        <f aca="false">IF($C468="","",IFERROR(INDEX(Insumos_Unidade,MATCH($C468,Insumos_Ingrediente,0)),""))</f>
        <v/>
      </c>
      <c r="F468" s="19" t="n">
        <f aca="false">IFERROR(INDEX(Insumos_CustoUnit,MATCH($C468,Insumos_Ingrediente,0)),0)</f>
        <v>0</v>
      </c>
      <c r="G468" s="19" t="n">
        <f aca="false">$D468*$F468</f>
        <v>0</v>
      </c>
      <c r="H468" s="38" t="n">
        <f aca="false">IF(OR($E468="g",$E468="ml"),$D468,0)</f>
        <v>0</v>
      </c>
      <c r="I468" s="38" t="n">
        <f aca="false">IF($C468="Açaí",1,0)</f>
        <v>0</v>
      </c>
      <c r="J468" s="38" t="n">
        <f aca="false">IF($C468="Banana",1,0)</f>
        <v>0</v>
      </c>
      <c r="K468" s="38" t="n">
        <f aca="false">IF($C468="Whey Protein",1,0)</f>
        <v>0</v>
      </c>
      <c r="L468" s="38" t="n">
        <f aca="false">IF(ISNUMBER(SEARCH("Copo",$C468)),1,0)</f>
        <v>0</v>
      </c>
    </row>
    <row r="469" customFormat="false" ht="15" hidden="false" customHeight="true" outlineLevel="0" collapsed="false">
      <c r="A469" s="33"/>
      <c r="B469" s="35" t="str">
        <f aca="false">IF($C469="","",IFERROR(INDEX(Insumos_Categoria,MATCH($C469,Insumos_Ingrediente,0)),""))</f>
        <v/>
      </c>
      <c r="C469" s="33"/>
      <c r="D469" s="33"/>
      <c r="E469" s="35" t="str">
        <f aca="false">IF($C469="","",IFERROR(INDEX(Insumos_Unidade,MATCH($C469,Insumos_Ingrediente,0)),""))</f>
        <v/>
      </c>
      <c r="F469" s="19" t="n">
        <f aca="false">IFERROR(INDEX(Insumos_CustoUnit,MATCH($C469,Insumos_Ingrediente,0)),0)</f>
        <v>0</v>
      </c>
      <c r="G469" s="19" t="n">
        <f aca="false">$D469*$F469</f>
        <v>0</v>
      </c>
      <c r="H469" s="38" t="n">
        <f aca="false">IF(OR($E469="g",$E469="ml"),$D469,0)</f>
        <v>0</v>
      </c>
      <c r="I469" s="38" t="n">
        <f aca="false">IF($C469="Açaí",1,0)</f>
        <v>0</v>
      </c>
      <c r="J469" s="38" t="n">
        <f aca="false">IF($C469="Banana",1,0)</f>
        <v>0</v>
      </c>
      <c r="K469" s="38" t="n">
        <f aca="false">IF($C469="Whey Protein",1,0)</f>
        <v>0</v>
      </c>
      <c r="L469" s="38" t="n">
        <f aca="false">IF(ISNUMBER(SEARCH("Copo",$C469)),1,0)</f>
        <v>0</v>
      </c>
    </row>
    <row r="470" customFormat="false" ht="15" hidden="false" customHeight="true" outlineLevel="0" collapsed="false">
      <c r="A470" s="33"/>
      <c r="B470" s="35" t="str">
        <f aca="false">IF($C470="","",IFERROR(INDEX(Insumos_Categoria,MATCH($C470,Insumos_Ingrediente,0)),""))</f>
        <v/>
      </c>
      <c r="C470" s="33"/>
      <c r="D470" s="33"/>
      <c r="E470" s="35" t="str">
        <f aca="false">IF($C470="","",IFERROR(INDEX(Insumos_Unidade,MATCH($C470,Insumos_Ingrediente,0)),""))</f>
        <v/>
      </c>
      <c r="F470" s="19" t="n">
        <f aca="false">IFERROR(INDEX(Insumos_CustoUnit,MATCH($C470,Insumos_Ingrediente,0)),0)</f>
        <v>0</v>
      </c>
      <c r="G470" s="19" t="n">
        <f aca="false">$D470*$F470</f>
        <v>0</v>
      </c>
      <c r="H470" s="38" t="n">
        <f aca="false">IF(OR($E470="g",$E470="ml"),$D470,0)</f>
        <v>0</v>
      </c>
      <c r="I470" s="38" t="n">
        <f aca="false">IF($C470="Açaí",1,0)</f>
        <v>0</v>
      </c>
      <c r="J470" s="38" t="n">
        <f aca="false">IF($C470="Banana",1,0)</f>
        <v>0</v>
      </c>
      <c r="K470" s="38" t="n">
        <f aca="false">IF($C470="Whey Protein",1,0)</f>
        <v>0</v>
      </c>
      <c r="L470" s="38" t="n">
        <f aca="false">IF(ISNUMBER(SEARCH("Copo",$C470)),1,0)</f>
        <v>0</v>
      </c>
    </row>
    <row r="471" customFormat="false" ht="15" hidden="false" customHeight="true" outlineLevel="0" collapsed="false">
      <c r="A471" s="33"/>
      <c r="B471" s="35" t="str">
        <f aca="false">IF($C471="","",IFERROR(INDEX(Insumos_Categoria,MATCH($C471,Insumos_Ingrediente,0)),""))</f>
        <v/>
      </c>
      <c r="C471" s="33"/>
      <c r="D471" s="33"/>
      <c r="E471" s="35" t="str">
        <f aca="false">IF($C471="","",IFERROR(INDEX(Insumos_Unidade,MATCH($C471,Insumos_Ingrediente,0)),""))</f>
        <v/>
      </c>
      <c r="F471" s="19" t="n">
        <f aca="false">IFERROR(INDEX(Insumos_CustoUnit,MATCH($C471,Insumos_Ingrediente,0)),0)</f>
        <v>0</v>
      </c>
      <c r="G471" s="19" t="n">
        <f aca="false">$D471*$F471</f>
        <v>0</v>
      </c>
      <c r="H471" s="38" t="n">
        <f aca="false">IF(OR($E471="g",$E471="ml"),$D471,0)</f>
        <v>0</v>
      </c>
      <c r="I471" s="38" t="n">
        <f aca="false">IF($C471="Açaí",1,0)</f>
        <v>0</v>
      </c>
      <c r="J471" s="38" t="n">
        <f aca="false">IF($C471="Banana",1,0)</f>
        <v>0</v>
      </c>
      <c r="K471" s="38" t="n">
        <f aca="false">IF($C471="Whey Protein",1,0)</f>
        <v>0</v>
      </c>
      <c r="L471" s="38" t="n">
        <f aca="false">IF(ISNUMBER(SEARCH("Copo",$C471)),1,0)</f>
        <v>0</v>
      </c>
    </row>
    <row r="472" customFormat="false" ht="15" hidden="false" customHeight="true" outlineLevel="0" collapsed="false">
      <c r="A472" s="33"/>
      <c r="B472" s="35" t="str">
        <f aca="false">IF($C472="","",IFERROR(INDEX(Insumos_Categoria,MATCH($C472,Insumos_Ingrediente,0)),""))</f>
        <v/>
      </c>
      <c r="C472" s="33"/>
      <c r="D472" s="33"/>
      <c r="E472" s="35" t="str">
        <f aca="false">IF($C472="","",IFERROR(INDEX(Insumos_Unidade,MATCH($C472,Insumos_Ingrediente,0)),""))</f>
        <v/>
      </c>
      <c r="F472" s="19" t="n">
        <f aca="false">IFERROR(INDEX(Insumos_CustoUnit,MATCH($C472,Insumos_Ingrediente,0)),0)</f>
        <v>0</v>
      </c>
      <c r="G472" s="19" t="n">
        <f aca="false">$D472*$F472</f>
        <v>0</v>
      </c>
      <c r="H472" s="38" t="n">
        <f aca="false">IF(OR($E472="g",$E472="ml"),$D472,0)</f>
        <v>0</v>
      </c>
      <c r="I472" s="38" t="n">
        <f aca="false">IF($C472="Açaí",1,0)</f>
        <v>0</v>
      </c>
      <c r="J472" s="38" t="n">
        <f aca="false">IF($C472="Banana",1,0)</f>
        <v>0</v>
      </c>
      <c r="K472" s="38" t="n">
        <f aca="false">IF($C472="Whey Protein",1,0)</f>
        <v>0</v>
      </c>
      <c r="L472" s="38" t="n">
        <f aca="false">IF(ISNUMBER(SEARCH("Copo",$C472)),1,0)</f>
        <v>0</v>
      </c>
    </row>
    <row r="473" customFormat="false" ht="15" hidden="false" customHeight="true" outlineLevel="0" collapsed="false">
      <c r="A473" s="33"/>
      <c r="B473" s="35" t="str">
        <f aca="false">IF($C473="","",IFERROR(INDEX(Insumos_Categoria,MATCH($C473,Insumos_Ingrediente,0)),""))</f>
        <v/>
      </c>
      <c r="C473" s="33"/>
      <c r="D473" s="33"/>
      <c r="E473" s="35" t="str">
        <f aca="false">IF($C473="","",IFERROR(INDEX(Insumos_Unidade,MATCH($C473,Insumos_Ingrediente,0)),""))</f>
        <v/>
      </c>
      <c r="F473" s="19" t="n">
        <f aca="false">IFERROR(INDEX(Insumos_CustoUnit,MATCH($C473,Insumos_Ingrediente,0)),0)</f>
        <v>0</v>
      </c>
      <c r="G473" s="19" t="n">
        <f aca="false">$D473*$F473</f>
        <v>0</v>
      </c>
      <c r="H473" s="38" t="n">
        <f aca="false">IF(OR($E473="g",$E473="ml"),$D473,0)</f>
        <v>0</v>
      </c>
      <c r="I473" s="38" t="n">
        <f aca="false">IF($C473="Açaí",1,0)</f>
        <v>0</v>
      </c>
      <c r="J473" s="38" t="n">
        <f aca="false">IF($C473="Banana",1,0)</f>
        <v>0</v>
      </c>
      <c r="K473" s="38" t="n">
        <f aca="false">IF($C473="Whey Protein",1,0)</f>
        <v>0</v>
      </c>
      <c r="L473" s="38" t="n">
        <f aca="false">IF(ISNUMBER(SEARCH("Copo",$C473)),1,0)</f>
        <v>0</v>
      </c>
    </row>
    <row r="474" customFormat="false" ht="15" hidden="false" customHeight="true" outlineLevel="0" collapsed="false">
      <c r="A474" s="33"/>
      <c r="B474" s="35" t="str">
        <f aca="false">IF($C474="","",IFERROR(INDEX(Insumos_Categoria,MATCH($C474,Insumos_Ingrediente,0)),""))</f>
        <v/>
      </c>
      <c r="C474" s="33"/>
      <c r="D474" s="33"/>
      <c r="E474" s="35" t="str">
        <f aca="false">IF($C474="","",IFERROR(INDEX(Insumos_Unidade,MATCH($C474,Insumos_Ingrediente,0)),""))</f>
        <v/>
      </c>
      <c r="F474" s="19" t="n">
        <f aca="false">IFERROR(INDEX(Insumos_CustoUnit,MATCH($C474,Insumos_Ingrediente,0)),0)</f>
        <v>0</v>
      </c>
      <c r="G474" s="19" t="n">
        <f aca="false">$D474*$F474</f>
        <v>0</v>
      </c>
      <c r="H474" s="38" t="n">
        <f aca="false">IF(OR($E474="g",$E474="ml"),$D474,0)</f>
        <v>0</v>
      </c>
      <c r="I474" s="38" t="n">
        <f aca="false">IF($C474="Açaí",1,0)</f>
        <v>0</v>
      </c>
      <c r="J474" s="38" t="n">
        <f aca="false">IF($C474="Banana",1,0)</f>
        <v>0</v>
      </c>
      <c r="K474" s="38" t="n">
        <f aca="false">IF($C474="Whey Protein",1,0)</f>
        <v>0</v>
      </c>
      <c r="L474" s="38" t="n">
        <f aca="false">IF(ISNUMBER(SEARCH("Copo",$C474)),1,0)</f>
        <v>0</v>
      </c>
    </row>
    <row r="475" customFormat="false" ht="15" hidden="false" customHeight="true" outlineLevel="0" collapsed="false">
      <c r="A475" s="33"/>
      <c r="B475" s="35" t="str">
        <f aca="false">IF($C475="","",IFERROR(INDEX(Insumos_Categoria,MATCH($C475,Insumos_Ingrediente,0)),""))</f>
        <v/>
      </c>
      <c r="C475" s="33"/>
      <c r="D475" s="33"/>
      <c r="E475" s="35" t="str">
        <f aca="false">IF($C475="","",IFERROR(INDEX(Insumos_Unidade,MATCH($C475,Insumos_Ingrediente,0)),""))</f>
        <v/>
      </c>
      <c r="F475" s="19" t="n">
        <f aca="false">IFERROR(INDEX(Insumos_CustoUnit,MATCH($C475,Insumos_Ingrediente,0)),0)</f>
        <v>0</v>
      </c>
      <c r="G475" s="19" t="n">
        <f aca="false">$D475*$F475</f>
        <v>0</v>
      </c>
      <c r="H475" s="38" t="n">
        <f aca="false">IF(OR($E475="g",$E475="ml"),$D475,0)</f>
        <v>0</v>
      </c>
      <c r="I475" s="38" t="n">
        <f aca="false">IF($C475="Açaí",1,0)</f>
        <v>0</v>
      </c>
      <c r="J475" s="38" t="n">
        <f aca="false">IF($C475="Banana",1,0)</f>
        <v>0</v>
      </c>
      <c r="K475" s="38" t="n">
        <f aca="false">IF($C475="Whey Protein",1,0)</f>
        <v>0</v>
      </c>
      <c r="L475" s="38" t="n">
        <f aca="false">IF(ISNUMBER(SEARCH("Copo",$C475)),1,0)</f>
        <v>0</v>
      </c>
    </row>
    <row r="476" customFormat="false" ht="15" hidden="false" customHeight="true" outlineLevel="0" collapsed="false">
      <c r="A476" s="33"/>
      <c r="B476" s="35" t="str">
        <f aca="false">IF($C476="","",IFERROR(INDEX(Insumos_Categoria,MATCH($C476,Insumos_Ingrediente,0)),""))</f>
        <v/>
      </c>
      <c r="C476" s="33"/>
      <c r="D476" s="33"/>
      <c r="E476" s="35" t="str">
        <f aca="false">IF($C476="","",IFERROR(INDEX(Insumos_Unidade,MATCH($C476,Insumos_Ingrediente,0)),""))</f>
        <v/>
      </c>
      <c r="F476" s="19" t="n">
        <f aca="false">IFERROR(INDEX(Insumos_CustoUnit,MATCH($C476,Insumos_Ingrediente,0)),0)</f>
        <v>0</v>
      </c>
      <c r="G476" s="19" t="n">
        <f aca="false">$D476*$F476</f>
        <v>0</v>
      </c>
      <c r="H476" s="38" t="n">
        <f aca="false">IF(OR($E476="g",$E476="ml"),$D476,0)</f>
        <v>0</v>
      </c>
      <c r="I476" s="38" t="n">
        <f aca="false">IF($C476="Açaí",1,0)</f>
        <v>0</v>
      </c>
      <c r="J476" s="38" t="n">
        <f aca="false">IF($C476="Banana",1,0)</f>
        <v>0</v>
      </c>
      <c r="K476" s="38" t="n">
        <f aca="false">IF($C476="Whey Protein",1,0)</f>
        <v>0</v>
      </c>
      <c r="L476" s="38" t="n">
        <f aca="false">IF(ISNUMBER(SEARCH("Copo",$C476)),1,0)</f>
        <v>0</v>
      </c>
    </row>
    <row r="477" customFormat="false" ht="15" hidden="false" customHeight="true" outlineLevel="0" collapsed="false">
      <c r="A477" s="33"/>
      <c r="B477" s="35" t="str">
        <f aca="false">IF($C477="","",IFERROR(INDEX(Insumos_Categoria,MATCH($C477,Insumos_Ingrediente,0)),""))</f>
        <v/>
      </c>
      <c r="C477" s="33"/>
      <c r="D477" s="33"/>
      <c r="E477" s="35" t="str">
        <f aca="false">IF($C477="","",IFERROR(INDEX(Insumos_Unidade,MATCH($C477,Insumos_Ingrediente,0)),""))</f>
        <v/>
      </c>
      <c r="F477" s="19" t="n">
        <f aca="false">IFERROR(INDEX(Insumos_CustoUnit,MATCH($C477,Insumos_Ingrediente,0)),0)</f>
        <v>0</v>
      </c>
      <c r="G477" s="19" t="n">
        <f aca="false">$D477*$F477</f>
        <v>0</v>
      </c>
      <c r="H477" s="38" t="n">
        <f aca="false">IF(OR($E477="g",$E477="ml"),$D477,0)</f>
        <v>0</v>
      </c>
      <c r="I477" s="38" t="n">
        <f aca="false">IF($C477="Açaí",1,0)</f>
        <v>0</v>
      </c>
      <c r="J477" s="38" t="n">
        <f aca="false">IF($C477="Banana",1,0)</f>
        <v>0</v>
      </c>
      <c r="K477" s="38" t="n">
        <f aca="false">IF($C477="Whey Protein",1,0)</f>
        <v>0</v>
      </c>
      <c r="L477" s="38" t="n">
        <f aca="false">IF(ISNUMBER(SEARCH("Copo",$C477)),1,0)</f>
        <v>0</v>
      </c>
    </row>
    <row r="478" customFormat="false" ht="15" hidden="false" customHeight="true" outlineLevel="0" collapsed="false">
      <c r="A478" s="33"/>
      <c r="B478" s="35" t="str">
        <f aca="false">IF($C478="","",IFERROR(INDEX(Insumos_Categoria,MATCH($C478,Insumos_Ingrediente,0)),""))</f>
        <v/>
      </c>
      <c r="C478" s="33"/>
      <c r="D478" s="33"/>
      <c r="E478" s="35" t="str">
        <f aca="false">IF($C478="","",IFERROR(INDEX(Insumos_Unidade,MATCH($C478,Insumos_Ingrediente,0)),""))</f>
        <v/>
      </c>
      <c r="F478" s="19" t="n">
        <f aca="false">IFERROR(INDEX(Insumos_CustoUnit,MATCH($C478,Insumos_Ingrediente,0)),0)</f>
        <v>0</v>
      </c>
      <c r="G478" s="19" t="n">
        <f aca="false">$D478*$F478</f>
        <v>0</v>
      </c>
      <c r="H478" s="38" t="n">
        <f aca="false">IF(OR($E478="g",$E478="ml"),$D478,0)</f>
        <v>0</v>
      </c>
      <c r="I478" s="38" t="n">
        <f aca="false">IF($C478="Açaí",1,0)</f>
        <v>0</v>
      </c>
      <c r="J478" s="38" t="n">
        <f aca="false">IF($C478="Banana",1,0)</f>
        <v>0</v>
      </c>
      <c r="K478" s="38" t="n">
        <f aca="false">IF($C478="Whey Protein",1,0)</f>
        <v>0</v>
      </c>
      <c r="L478" s="38" t="n">
        <f aca="false">IF(ISNUMBER(SEARCH("Copo",$C478)),1,0)</f>
        <v>0</v>
      </c>
    </row>
    <row r="479" customFormat="false" ht="15" hidden="false" customHeight="true" outlineLevel="0" collapsed="false">
      <c r="A479" s="33"/>
      <c r="B479" s="35" t="str">
        <f aca="false">IF($C479="","",IFERROR(INDEX(Insumos_Categoria,MATCH($C479,Insumos_Ingrediente,0)),""))</f>
        <v/>
      </c>
      <c r="C479" s="33"/>
      <c r="D479" s="33"/>
      <c r="E479" s="35" t="str">
        <f aca="false">IF($C479="","",IFERROR(INDEX(Insumos_Unidade,MATCH($C479,Insumos_Ingrediente,0)),""))</f>
        <v/>
      </c>
      <c r="F479" s="19" t="n">
        <f aca="false">IFERROR(INDEX(Insumos_CustoUnit,MATCH($C479,Insumos_Ingrediente,0)),0)</f>
        <v>0</v>
      </c>
      <c r="G479" s="19" t="n">
        <f aca="false">$D479*$F479</f>
        <v>0</v>
      </c>
      <c r="H479" s="38" t="n">
        <f aca="false">IF(OR($E479="g",$E479="ml"),$D479,0)</f>
        <v>0</v>
      </c>
      <c r="I479" s="38" t="n">
        <f aca="false">IF($C479="Açaí",1,0)</f>
        <v>0</v>
      </c>
      <c r="J479" s="38" t="n">
        <f aca="false">IF($C479="Banana",1,0)</f>
        <v>0</v>
      </c>
      <c r="K479" s="38" t="n">
        <f aca="false">IF($C479="Whey Protein",1,0)</f>
        <v>0</v>
      </c>
      <c r="L479" s="38" t="n">
        <f aca="false">IF(ISNUMBER(SEARCH("Copo",$C479)),1,0)</f>
        <v>0</v>
      </c>
    </row>
    <row r="480" customFormat="false" ht="15" hidden="false" customHeight="true" outlineLevel="0" collapsed="false">
      <c r="A480" s="33"/>
      <c r="B480" s="35" t="str">
        <f aca="false">IF($C480="","",IFERROR(INDEX(Insumos_Categoria,MATCH($C480,Insumos_Ingrediente,0)),""))</f>
        <v/>
      </c>
      <c r="C480" s="33"/>
      <c r="D480" s="33"/>
      <c r="E480" s="35" t="str">
        <f aca="false">IF($C480="","",IFERROR(INDEX(Insumos_Unidade,MATCH($C480,Insumos_Ingrediente,0)),""))</f>
        <v/>
      </c>
      <c r="F480" s="19" t="n">
        <f aca="false">IFERROR(INDEX(Insumos_CustoUnit,MATCH($C480,Insumos_Ingrediente,0)),0)</f>
        <v>0</v>
      </c>
      <c r="G480" s="19" t="n">
        <f aca="false">$D480*$F480</f>
        <v>0</v>
      </c>
      <c r="H480" s="38" t="n">
        <f aca="false">IF(OR($E480="g",$E480="ml"),$D480,0)</f>
        <v>0</v>
      </c>
      <c r="I480" s="38" t="n">
        <f aca="false">IF($C480="Açaí",1,0)</f>
        <v>0</v>
      </c>
      <c r="J480" s="38" t="n">
        <f aca="false">IF($C480="Banana",1,0)</f>
        <v>0</v>
      </c>
      <c r="K480" s="38" t="n">
        <f aca="false">IF($C480="Whey Protein",1,0)</f>
        <v>0</v>
      </c>
      <c r="L480" s="38" t="n">
        <f aca="false">IF(ISNUMBER(SEARCH("Copo",$C480)),1,0)</f>
        <v>0</v>
      </c>
    </row>
  </sheetData>
  <mergeCells count="2">
    <mergeCell ref="A1:L1"/>
    <mergeCell ref="A2:L2"/>
  </mergeCells>
  <dataValidations count="2">
    <dataValidation allowBlank="true" error="Produto não está na lista padrão (aba Listas). Você pode confirmar mesmo assim para cadastrar um produto novo." errorStyle="warning" errorTitle="Novo produto?" operator="between" showDropDown="false" showErrorMessage="true" showInputMessage="false" sqref="A5:A480" type="list">
      <formula1>Listas_Produtos</formula1>
      <formula2>0</formula2>
    </dataValidation>
    <dataValidation allowBlank="true" error="Ingrediente não encontrado na aba Insumos. Cadastre-o lá primeiro para que o custo seja calculado." errorStyle="warning" errorTitle="Ingrediente não cadastrado" operator="between" showDropDown="false" showErrorMessage="true" showInputMessage="false" sqref="C5:C480" type="list">
      <formula1>Insumos_Ingrediente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N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15"/>
    <col collapsed="false" customWidth="true" hidden="false" outlineLevel="0" max="5" min="4" style="1" width="13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20"/>
  </cols>
  <sheetData>
    <row r="1" customFormat="false" ht="25.5" hidden="false" customHeight="true" outlineLevel="0" collapsed="false">
      <c r="A1" s="13" t="s">
        <v>217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30" hidden="false" customHeight="true" outlineLevel="0" collapsed="false">
      <c r="A2" s="14" t="s">
        <v>218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customFormat="false" ht="30" hidden="false" customHeight="true" outlineLevel="0" collapsed="false">
      <c r="A4" s="27" t="s">
        <v>33</v>
      </c>
      <c r="B4" s="27" t="s">
        <v>219</v>
      </c>
      <c r="C4" s="27" t="s">
        <v>220</v>
      </c>
      <c r="D4" s="27" t="s">
        <v>221</v>
      </c>
      <c r="E4" s="27" t="s">
        <v>222</v>
      </c>
      <c r="F4" s="27" t="s">
        <v>223</v>
      </c>
      <c r="G4" s="27" t="s">
        <v>224</v>
      </c>
      <c r="H4" s="27" t="s">
        <v>225</v>
      </c>
      <c r="I4" s="27" t="s">
        <v>226</v>
      </c>
      <c r="J4" s="27" t="s">
        <v>227</v>
      </c>
      <c r="K4" s="27" t="s">
        <v>228</v>
      </c>
      <c r="L4" s="27" t="s">
        <v>229</v>
      </c>
      <c r="M4" s="27" t="s">
        <v>230</v>
      </c>
      <c r="N4" s="27" t="s">
        <v>86</v>
      </c>
    </row>
    <row r="5" customFormat="false" ht="15" hidden="false" customHeight="true" outlineLevel="0" collapsed="false">
      <c r="A5" s="29" t="s">
        <v>175</v>
      </c>
      <c r="B5" s="29" t="s">
        <v>231</v>
      </c>
      <c r="C5" s="39" t="n">
        <v>16.9</v>
      </c>
      <c r="D5" s="40" t="n">
        <f aca="false">IF($A5="","",SUMIFS(FichaTecnica_QtdGML,FichaTecnica_Produto,$A5))</f>
        <v>260</v>
      </c>
      <c r="E5" s="19" t="n">
        <f aca="false">IF($A5="","",SUMIFS(FichaTecnica_CustoTotal,FichaTecnica_Produto,$A5))</f>
        <v>4.18103076923077</v>
      </c>
      <c r="F5" s="19" t="n">
        <f aca="false">IF($A5="","",IFERROR($E5/(1-Perdas),$E5))</f>
        <v>4.31034099920698</v>
      </c>
      <c r="G5" s="41" t="n">
        <f aca="false">IF($A5="","",IFERROR(INDEX(Rateio_CustoFixoPorVendaLinha,MATCH(LojaSelecionada,Rateio_LojasHeader,0)),0))</f>
        <v>7.40827777777778</v>
      </c>
      <c r="H5" s="19" t="n">
        <f aca="false">IF($A5="","",$F5+$G5)</f>
        <v>11.7186187769848</v>
      </c>
      <c r="I5" s="19" t="n">
        <f aca="false">IF($A5="","",IFERROR($H5/(1-MargemLiquidaDesejada-Impostos-TaxaCartao-Comissao),"Ajustar parâmetros"))</f>
        <v>18.1684012046275</v>
      </c>
      <c r="J5" s="20" t="n">
        <f aca="false">IF(OR($A5="",$C5=""),"",IFERROR($F5/$C5,""))</f>
        <v>0.255049763266685</v>
      </c>
      <c r="K5" s="20" t="n">
        <f aca="false">IF(OR($A5="",$C5=""),"",IFERROR(($C5-$H5-$C5*(Impostos+TaxaCartao+Comissao))/$C5,""))</f>
        <v>0.101590604912145</v>
      </c>
      <c r="L5" s="19" t="n">
        <f aca="false">IF(OR($A5="",$C5=""),"",$C5-$H5-$C5*(Impostos+TaxaCartao+Comissao))</f>
        <v>1.71688122301524</v>
      </c>
      <c r="M5" s="19" t="n">
        <f aca="false">IF(OR($A5="",$C5="",NOT(ISNUMBER($I5))),"",$C5-$I5)</f>
        <v>-1.26840120462753</v>
      </c>
      <c r="N5" s="42" t="str">
        <f aca="false">IF(OR($A5="",$K5=""),"",IF($K5&gt;=MargemLiquidaDesejada,"🟢 Margem Saudável",IF($K5&gt;=MargemLiquidaDesejada*0.8,"🟡 Atenção","🔴 Abaixo da Meta")))</f>
        <v>🔴 Abaixo da Meta</v>
      </c>
    </row>
    <row r="6" customFormat="false" ht="15" hidden="false" customHeight="true" outlineLevel="0" collapsed="false">
      <c r="A6" s="29" t="s">
        <v>176</v>
      </c>
      <c r="B6" s="29" t="s">
        <v>231</v>
      </c>
      <c r="C6" s="39" t="n">
        <v>22.9</v>
      </c>
      <c r="D6" s="40" t="n">
        <f aca="false">IF($A6="","",SUMIFS(FichaTecnica_QtdGML,FichaTecnica_Produto,$A6))</f>
        <v>360</v>
      </c>
      <c r="E6" s="19" t="n">
        <f aca="false">IF($A6="","",SUMIFS(FichaTecnica_CustoTotal,FichaTecnica_Produto,$A6))</f>
        <v>5.81795076923077</v>
      </c>
      <c r="F6" s="19" t="n">
        <f aca="false">IF($A6="","",IFERROR($E6/(1-Perdas),$E6))</f>
        <v>5.99788739095956</v>
      </c>
      <c r="G6" s="41" t="n">
        <f aca="false">IF($A6="","",IFERROR(INDEX(Rateio_CustoFixoPorVendaLinha,MATCH(LojaSelecionada,Rateio_LojasHeader,0)),0))</f>
        <v>7.40827777777778</v>
      </c>
      <c r="H6" s="19" t="n">
        <f aca="false">IF($A6="","",$F6+$G6)</f>
        <v>13.4061651687373</v>
      </c>
      <c r="I6" s="19" t="n">
        <f aca="false">IF($A6="","",IFERROR($H6/(1-MargemLiquidaDesejada-Impostos-TaxaCartao-Comissao),"Ajustar parâmetros"))</f>
        <v>20.7847521995928</v>
      </c>
      <c r="J6" s="20" t="n">
        <f aca="false">IF(OR($A6="",$C6=""),"",IFERROR($F6/$C6,""))</f>
        <v>0.261916479954566</v>
      </c>
      <c r="K6" s="20" t="n">
        <f aca="false">IF(OR($A6="",$C6=""),"",IFERROR(($C6-$H6-$C6*(Impostos+TaxaCartao+Comissao))/$C6,""))</f>
        <v>0.209577940229811</v>
      </c>
      <c r="L6" s="19" t="n">
        <f aca="false">IF(OR($A6="",$C6=""),"",$C6-$H6-$C6*(Impostos+TaxaCartao+Comissao))</f>
        <v>4.79933483126266</v>
      </c>
      <c r="M6" s="19" t="n">
        <f aca="false">IF(OR($A6="",$C6="",NOT(ISNUMBER($I6))),"",$C6-$I6)</f>
        <v>2.11524780040723</v>
      </c>
      <c r="N6" s="42" t="str">
        <f aca="false">IF(OR($A6="",$K6=""),"",IF($K6&gt;=MargemLiquidaDesejada,"🟢 Margem Saudável",IF($K6&gt;=MargemLiquidaDesejada*0.8,"🟡 Atenção","🔴 Abaixo da Meta")))</f>
        <v>🟢 Margem Saudável</v>
      </c>
    </row>
    <row r="7" customFormat="false" ht="15" hidden="false" customHeight="true" outlineLevel="0" collapsed="false">
      <c r="A7" s="29" t="s">
        <v>177</v>
      </c>
      <c r="B7" s="29" t="s">
        <v>231</v>
      </c>
      <c r="C7" s="39" t="n">
        <v>29.9</v>
      </c>
      <c r="D7" s="40" t="n">
        <f aca="false">IF($A7="","",SUMIFS(FichaTecnica_QtdGML,FichaTecnica_Produto,$A7))</f>
        <v>560</v>
      </c>
      <c r="E7" s="19" t="n">
        <f aca="false">IF($A7="","",SUMIFS(FichaTecnica_CustoTotal,FichaTecnica_Produto,$A7))</f>
        <v>9.21788076923077</v>
      </c>
      <c r="F7" s="19" t="n">
        <f aca="false">IF($A7="","",IFERROR($E7/(1-Perdas),$E7))</f>
        <v>9.50296986518636</v>
      </c>
      <c r="G7" s="41" t="n">
        <f aca="false">IF($A7="","",IFERROR(INDEX(Rateio_CustoFixoPorVendaLinha,MATCH(LojaSelecionada,Rateio_LojasHeader,0)),0))</f>
        <v>7.40827777777778</v>
      </c>
      <c r="H7" s="19" t="n">
        <f aca="false">IF($A7="","",$F7+$G7)</f>
        <v>16.9112476429641</v>
      </c>
      <c r="I7" s="19" t="n">
        <f aca="false">IF($A7="","",IFERROR($H7/(1-MargemLiquidaDesejada-Impostos-TaxaCartao-Comissao),"Ajustar parâmetros"))</f>
        <v>26.2189885937429</v>
      </c>
      <c r="J7" s="20" t="n">
        <f aca="false">IF(OR($A7="",$C7=""),"",IFERROR($F7/$C7,""))</f>
        <v>0.317825079103223</v>
      </c>
      <c r="K7" s="20" t="n">
        <f aca="false">IF(OR($A7="",$C7=""),"",IFERROR(($C7-$H7-$C7*(Impostos+TaxaCartao+Comissao))/$C7,""))</f>
        <v>0.229406433345681</v>
      </c>
      <c r="L7" s="19" t="n">
        <f aca="false">IF(OR($A7="",$C7=""),"",$C7-$H7-$C7*(Impostos+TaxaCartao+Comissao))</f>
        <v>6.85925235703586</v>
      </c>
      <c r="M7" s="19" t="n">
        <f aca="false">IF(OR($A7="",$C7="",NOT(ISNUMBER($I7))),"",$C7-$I7)</f>
        <v>3.68101140625715</v>
      </c>
      <c r="N7" s="42" t="str">
        <f aca="false">IF(OR($A7="",$K7=""),"",IF($K7&gt;=MargemLiquidaDesejada,"🟢 Margem Saudável",IF($K7&gt;=MargemLiquidaDesejada*0.8,"🟡 Atenção","🔴 Abaixo da Meta")))</f>
        <v>🟢 Margem Saudável</v>
      </c>
    </row>
    <row r="8" customFormat="false" ht="15" hidden="false" customHeight="true" outlineLevel="0" collapsed="false">
      <c r="A8" s="29" t="s">
        <v>178</v>
      </c>
      <c r="B8" s="29" t="s">
        <v>231</v>
      </c>
      <c r="C8" s="39" t="n">
        <v>16.9</v>
      </c>
      <c r="D8" s="40" t="n">
        <f aca="false">IF($A8="","",SUMIFS(FichaTecnica_QtdGML,FichaTecnica_Produto,$A8))</f>
        <v>290</v>
      </c>
      <c r="E8" s="19" t="n">
        <f aca="false">IF($A8="","",SUMIFS(FichaTecnica_CustoTotal,FichaTecnica_Produto,$A8))</f>
        <v>5.18753076923077</v>
      </c>
      <c r="F8" s="19" t="n">
        <f aca="false">IF($A8="","",IFERROR($E8/(1-Perdas),$E8))</f>
        <v>5.34796986518636</v>
      </c>
      <c r="G8" s="41" t="n">
        <f aca="false">IF($A8="","",IFERROR(INDEX(Rateio_CustoFixoPorVendaLinha,MATCH(LojaSelecionada,Rateio_LojasHeader,0)),0))</f>
        <v>7.40827777777778</v>
      </c>
      <c r="H8" s="19" t="n">
        <f aca="false">IF($A8="","",$F8+$G8)</f>
        <v>12.7562476429641</v>
      </c>
      <c r="I8" s="19" t="n">
        <f aca="false">IF($A8="","",IFERROR($H8/(1-MargemLiquidaDesejada-Impostos-TaxaCartao-Comissao),"Ajustar parâmetros"))</f>
        <v>19.7771281286266</v>
      </c>
      <c r="J8" s="20" t="n">
        <f aca="false">IF(OR($A8="",$C8=""),"",IFERROR($F8/$C8,""))</f>
        <v>0.316447921016944</v>
      </c>
      <c r="K8" s="20" t="n">
        <f aca="false">IF(OR($A8="",$C8=""),"",IFERROR(($C8-$H8-$C8*(Impostos+TaxaCartao+Comissao))/$C8,""))</f>
        <v>0.0401924471618853</v>
      </c>
      <c r="L8" s="19" t="n">
        <f aca="false">IF(OR($A8="",$C8=""),"",$C8-$H8-$C8*(Impostos+TaxaCartao+Comissao))</f>
        <v>0.679252357035862</v>
      </c>
      <c r="M8" s="19" t="n">
        <f aca="false">IF(OR($A8="",$C8="",NOT(ISNUMBER($I8))),"",$C8-$I8)</f>
        <v>-2.87712812862657</v>
      </c>
      <c r="N8" s="42" t="str">
        <f aca="false">IF(OR($A8="",$K8=""),"",IF($K8&gt;=MargemLiquidaDesejada,"🟢 Margem Saudável",IF($K8&gt;=MargemLiquidaDesejada*0.8,"🟡 Atenção","🔴 Abaixo da Meta")))</f>
        <v>🔴 Abaixo da Meta</v>
      </c>
    </row>
    <row r="9" customFormat="false" ht="15" hidden="false" customHeight="true" outlineLevel="0" collapsed="false">
      <c r="A9" s="29" t="s">
        <v>179</v>
      </c>
      <c r="B9" s="29" t="s">
        <v>231</v>
      </c>
      <c r="C9" s="39" t="n">
        <v>22.9</v>
      </c>
      <c r="D9" s="40" t="n">
        <f aca="false">IF($A9="","",SUMIFS(FichaTecnica_QtdGML,FichaTecnica_Produto,$A9))</f>
        <v>390</v>
      </c>
      <c r="E9" s="19" t="n">
        <f aca="false">IF($A9="","",SUMIFS(FichaTecnica_CustoTotal,FichaTecnica_Produto,$A9))</f>
        <v>6.82445076923077</v>
      </c>
      <c r="F9" s="19" t="n">
        <f aca="false">IF($A9="","",IFERROR($E9/(1-Perdas),$E9))</f>
        <v>7.03551625693894</v>
      </c>
      <c r="G9" s="41" t="n">
        <f aca="false">IF($A9="","",IFERROR(INDEX(Rateio_CustoFixoPorVendaLinha,MATCH(LojaSelecionada,Rateio_LojasHeader,0)),0))</f>
        <v>7.40827777777778</v>
      </c>
      <c r="H9" s="19" t="n">
        <f aca="false">IF($A9="","",$F9+$G9)</f>
        <v>14.4437940347167</v>
      </c>
      <c r="I9" s="19" t="n">
        <f aca="false">IF($A9="","",IFERROR($H9/(1-MargemLiquidaDesejada-Impostos-TaxaCartao-Comissao),"Ajustar parâmetros"))</f>
        <v>22.3934791235918</v>
      </c>
      <c r="J9" s="20" t="n">
        <f aca="false">IF(OR($A9="",$C9=""),"",IFERROR($F9/$C9,""))</f>
        <v>0.307227784145805</v>
      </c>
      <c r="K9" s="20" t="n">
        <f aca="false">IF(OR($A9="",$C9=""),"",IFERROR(($C9-$H9-$C9*(Impostos+TaxaCartao+Comissao))/$C9,""))</f>
        <v>0.164266636038571</v>
      </c>
      <c r="L9" s="19" t="n">
        <f aca="false">IF(OR($A9="",$C9=""),"",$C9-$H9-$C9*(Impostos+TaxaCartao+Comissao))</f>
        <v>3.76170596528328</v>
      </c>
      <c r="M9" s="19" t="n">
        <f aca="false">IF(OR($A9="",$C9="",NOT(ISNUMBER($I9))),"",$C9-$I9)</f>
        <v>0.506520876408192</v>
      </c>
      <c r="N9" s="42" t="str">
        <f aca="false">IF(OR($A9="",$K9=""),"",IF($K9&gt;=MargemLiquidaDesejada,"🟢 Margem Saudável",IF($K9&gt;=MargemLiquidaDesejada*0.8,"🟡 Atenção","🔴 Abaixo da Meta")))</f>
        <v>🟢 Margem Saudável</v>
      </c>
    </row>
    <row r="10" customFormat="false" ht="15" hidden="false" customHeight="true" outlineLevel="0" collapsed="false">
      <c r="A10" s="29" t="s">
        <v>180</v>
      </c>
      <c r="B10" s="29" t="s">
        <v>231</v>
      </c>
      <c r="C10" s="39" t="n">
        <v>29.9</v>
      </c>
      <c r="D10" s="40" t="n">
        <f aca="false">IF($A10="","",SUMIFS(FichaTecnica_QtdGML,FichaTecnica_Produto,$A10))</f>
        <v>590</v>
      </c>
      <c r="E10" s="19" t="n">
        <f aca="false">IF($A10="","",SUMIFS(FichaTecnica_CustoTotal,FichaTecnica_Produto,$A10))</f>
        <v>10.2243807692308</v>
      </c>
      <c r="F10" s="19" t="n">
        <f aca="false">IF($A10="","",IFERROR($E10/(1-Perdas),$E10))</f>
        <v>10.5405987311657</v>
      </c>
      <c r="G10" s="41" t="n">
        <f aca="false">IF($A10="","",IFERROR(INDEX(Rateio_CustoFixoPorVendaLinha,MATCH(LojaSelecionada,Rateio_LojasHeader,0)),0))</f>
        <v>7.40827777777778</v>
      </c>
      <c r="H10" s="19" t="n">
        <f aca="false">IF($A10="","",$F10+$G10)</f>
        <v>17.9488765089435</v>
      </c>
      <c r="I10" s="19" t="n">
        <f aca="false">IF($A10="","",IFERROR($H10/(1-MargemLiquidaDesejada-Impostos-TaxaCartao-Comissao),"Ajustar parâmetros"))</f>
        <v>27.8277155177419</v>
      </c>
      <c r="J10" s="20" t="n">
        <f aca="false">IF(OR($A10="",$C10=""),"",IFERROR($F10/$C10,""))</f>
        <v>0.352528385657717</v>
      </c>
      <c r="K10" s="20" t="n">
        <f aca="false">IF(OR($A10="",$C10=""),"",IFERROR(($C10-$H10-$C10*(Impostos+TaxaCartao+Comissao))/$C10,""))</f>
        <v>0.194703126791187</v>
      </c>
      <c r="L10" s="19" t="n">
        <f aca="false">IF(OR($A10="",$C10=""),"",$C10-$H10-$C10*(Impostos+TaxaCartao+Comissao))</f>
        <v>5.82162349105648</v>
      </c>
      <c r="M10" s="19" t="n">
        <f aca="false">IF(OR($A10="",$C10="",NOT(ISNUMBER($I10))),"",$C10-$I10)</f>
        <v>2.07228448225811</v>
      </c>
      <c r="N10" s="42" t="str">
        <f aca="false">IF(OR($A10="",$K10=""),"",IF($K10&gt;=MargemLiquidaDesejada,"🟢 Margem Saudável",IF($K10&gt;=MargemLiquidaDesejada*0.8,"🟡 Atenção","🔴 Abaixo da Meta")))</f>
        <v>🟢 Margem Saudável</v>
      </c>
    </row>
    <row r="11" customFormat="false" ht="15" hidden="false" customHeight="true" outlineLevel="0" collapsed="false">
      <c r="A11" s="29" t="s">
        <v>181</v>
      </c>
      <c r="B11" s="29" t="s">
        <v>231</v>
      </c>
      <c r="C11" s="39" t="n">
        <v>16.9</v>
      </c>
      <c r="D11" s="40" t="n">
        <f aca="false">IF($A11="","",SUMIFS(FichaTecnica_QtdGML,FichaTecnica_Produto,$A11))</f>
        <v>290</v>
      </c>
      <c r="E11" s="19" t="n">
        <f aca="false">IF($A11="","",SUMIFS(FichaTecnica_CustoTotal,FichaTecnica_Produto,$A11))</f>
        <v>4.85093076923077</v>
      </c>
      <c r="F11" s="19" t="n">
        <f aca="false">IF($A11="","",IFERROR($E11/(1-Perdas),$E11))</f>
        <v>5.00095955590801</v>
      </c>
      <c r="G11" s="41" t="n">
        <f aca="false">IF($A11="","",IFERROR(INDEX(Rateio_CustoFixoPorVendaLinha,MATCH(LojaSelecionada,Rateio_LojasHeader,0)),0))</f>
        <v>7.40827777777778</v>
      </c>
      <c r="H11" s="19" t="n">
        <f aca="false">IF($A11="","",$F11+$G11)</f>
        <v>12.4092373336858</v>
      </c>
      <c r="I11" s="19" t="n">
        <f aca="false">IF($A11="","",IFERROR($H11/(1-MargemLiquidaDesejada-Impostos-TaxaCartao-Comissao),"Ajustar parâmetros"))</f>
        <v>19.2391276491253</v>
      </c>
      <c r="J11" s="20" t="n">
        <f aca="false">IF(OR($A11="",$C11=""),"",IFERROR($F11/$C11,""))</f>
        <v>0.295914766621776</v>
      </c>
      <c r="K11" s="20" t="n">
        <f aca="false">IF(OR($A11="",$C11=""),"",IFERROR(($C11-$H11-$C11*(Impostos+TaxaCartao+Comissao))/$C11,""))</f>
        <v>0.0607256015570539</v>
      </c>
      <c r="L11" s="19" t="n">
        <f aca="false">IF(OR($A11="",$C11=""),"",$C11-$H11-$C11*(Impostos+TaxaCartao+Comissao))</f>
        <v>1.02626266631421</v>
      </c>
      <c r="M11" s="19" t="n">
        <f aca="false">IF(OR($A11="",$C11="",NOT(ISNUMBER($I11))),"",$C11-$I11)</f>
        <v>-2.33912764912525</v>
      </c>
      <c r="N11" s="42" t="str">
        <f aca="false">IF(OR($A11="",$K11=""),"",IF($K11&gt;=MargemLiquidaDesejada,"🟢 Margem Saudável",IF($K11&gt;=MargemLiquidaDesejada*0.8,"🟡 Atenção","🔴 Abaixo da Meta")))</f>
        <v>🔴 Abaixo da Meta</v>
      </c>
    </row>
    <row r="12" customFormat="false" ht="15" hidden="false" customHeight="true" outlineLevel="0" collapsed="false">
      <c r="A12" s="29" t="s">
        <v>182</v>
      </c>
      <c r="B12" s="29" t="s">
        <v>231</v>
      </c>
      <c r="C12" s="39" t="n">
        <v>22.9</v>
      </c>
      <c r="D12" s="40" t="n">
        <f aca="false">IF($A12="","",SUMIFS(FichaTecnica_QtdGML,FichaTecnica_Produto,$A12))</f>
        <v>390</v>
      </c>
      <c r="E12" s="19" t="n">
        <f aca="false">IF($A12="","",SUMIFS(FichaTecnica_CustoTotal,FichaTecnica_Produto,$A12))</f>
        <v>6.48785076923077</v>
      </c>
      <c r="F12" s="19" t="n">
        <f aca="false">IF($A12="","",IFERROR($E12/(1-Perdas),$E12))</f>
        <v>6.68850594766059</v>
      </c>
      <c r="G12" s="41" t="n">
        <f aca="false">IF($A12="","",IFERROR(INDEX(Rateio_CustoFixoPorVendaLinha,MATCH(LojaSelecionada,Rateio_LojasHeader,0)),0))</f>
        <v>7.40827777777778</v>
      </c>
      <c r="H12" s="19" t="n">
        <f aca="false">IF($A12="","",$F12+$G12)</f>
        <v>14.0967837254384</v>
      </c>
      <c r="I12" s="19" t="n">
        <f aca="false">IF($A12="","",IFERROR($H12/(1-MargemLiquidaDesejada-Impostos-TaxaCartao-Comissao),"Ajustar parâmetros"))</f>
        <v>21.8554786440905</v>
      </c>
      <c r="J12" s="20" t="n">
        <f aca="false">IF(OR($A12="",$C12=""),"",IFERROR($F12/$C12,""))</f>
        <v>0.29207449553103</v>
      </c>
      <c r="K12" s="20" t="n">
        <f aca="false">IF(OR($A12="",$C12=""),"",IFERROR(($C12-$H12-$C12*(Impostos+TaxaCartao+Comissao))/$C12,""))</f>
        <v>0.179419924653347</v>
      </c>
      <c r="L12" s="19" t="n">
        <f aca="false">IF(OR($A12="",$C12=""),"",$C12-$H12-$C12*(Impostos+TaxaCartao+Comissao))</f>
        <v>4.10871627456164</v>
      </c>
      <c r="M12" s="19" t="n">
        <f aca="false">IF(OR($A12="",$C12="",NOT(ISNUMBER($I12))),"",$C12-$I12)</f>
        <v>1.04452135590951</v>
      </c>
      <c r="N12" s="42" t="str">
        <f aca="false">IF(OR($A12="",$K12=""),"",IF($K12&gt;=MargemLiquidaDesejada,"🟢 Margem Saudável",IF($K12&gt;=MargemLiquidaDesejada*0.8,"🟡 Atenção","🔴 Abaixo da Meta")))</f>
        <v>🟢 Margem Saudável</v>
      </c>
    </row>
    <row r="13" customFormat="false" ht="15" hidden="false" customHeight="true" outlineLevel="0" collapsed="false">
      <c r="A13" s="29" t="s">
        <v>183</v>
      </c>
      <c r="B13" s="29" t="s">
        <v>231</v>
      </c>
      <c r="C13" s="39" t="n">
        <v>29.9</v>
      </c>
      <c r="D13" s="40" t="n">
        <f aca="false">IF($A13="","",SUMIFS(FichaTecnica_QtdGML,FichaTecnica_Produto,$A13))</f>
        <v>590</v>
      </c>
      <c r="E13" s="19" t="n">
        <f aca="false">IF($A13="","",SUMIFS(FichaTecnica_CustoTotal,FichaTecnica_Produto,$A13))</f>
        <v>9.88778076923077</v>
      </c>
      <c r="F13" s="19" t="n">
        <f aca="false">IF($A13="","",IFERROR($E13/(1-Perdas),$E13))</f>
        <v>10.1935884218874</v>
      </c>
      <c r="G13" s="41" t="n">
        <f aca="false">IF($A13="","",IFERROR(INDEX(Rateio_CustoFixoPorVendaLinha,MATCH(LojaSelecionada,Rateio_LojasHeader,0)),0))</f>
        <v>7.40827777777778</v>
      </c>
      <c r="H13" s="19" t="n">
        <f aca="false">IF($A13="","",$F13+$G13)</f>
        <v>17.6018661996652</v>
      </c>
      <c r="I13" s="19" t="n">
        <f aca="false">IF($A13="","",IFERROR($H13/(1-MargemLiquidaDesejada-Impostos-TaxaCartao-Comissao),"Ajustar parâmetros"))</f>
        <v>27.2897150382406</v>
      </c>
      <c r="J13" s="20" t="n">
        <f aca="false">IF(OR($A13="",$C13=""),"",IFERROR($F13/$C13,""))</f>
        <v>0.340922689695231</v>
      </c>
      <c r="K13" s="20" t="n">
        <f aca="false">IF(OR($A13="",$C13=""),"",IFERROR(($C13-$H13-$C13*(Impostos+TaxaCartao+Comissao))/$C13,""))</f>
        <v>0.206308822753673</v>
      </c>
      <c r="L13" s="19" t="n">
        <f aca="false">IF(OR($A13="",$C13=""),"",$C13-$H13-$C13*(Impostos+TaxaCartao+Comissao))</f>
        <v>6.16863380033483</v>
      </c>
      <c r="M13" s="19" t="n">
        <f aca="false">IF(OR($A13="",$C13="",NOT(ISNUMBER($I13))),"",$C13-$I13)</f>
        <v>2.61028496175943</v>
      </c>
      <c r="N13" s="42" t="str">
        <f aca="false">IF(OR($A13="",$K13=""),"",IF($K13&gt;=MargemLiquidaDesejada,"🟢 Margem Saudável",IF($K13&gt;=MargemLiquidaDesejada*0.8,"🟡 Atenção","🔴 Abaixo da Meta")))</f>
        <v>🟢 Margem Saudável</v>
      </c>
    </row>
    <row r="14" customFormat="false" ht="15" hidden="false" customHeight="true" outlineLevel="0" collapsed="false">
      <c r="A14" s="29" t="s">
        <v>184</v>
      </c>
      <c r="B14" s="29" t="s">
        <v>231</v>
      </c>
      <c r="C14" s="39" t="n">
        <v>16.9</v>
      </c>
      <c r="D14" s="40" t="n">
        <f aca="false">IF($A14="","",SUMIFS(FichaTecnica_QtdGML,FichaTecnica_Produto,$A14))</f>
        <v>290</v>
      </c>
      <c r="E14" s="19" t="n">
        <f aca="false">IF($A14="","",SUMIFS(FichaTecnica_CustoTotal,FichaTecnica_Produto,$A14))</f>
        <v>5.5371</v>
      </c>
      <c r="F14" s="19" t="n">
        <f aca="false">IF($A14="","",IFERROR($E14/(1-Perdas),$E14))</f>
        <v>5.70835051546392</v>
      </c>
      <c r="G14" s="41" t="n">
        <f aca="false">IF($A14="","",IFERROR(INDEX(Rateio_CustoFixoPorVendaLinha,MATCH(LojaSelecionada,Rateio_LojasHeader,0)),0))</f>
        <v>7.40827777777778</v>
      </c>
      <c r="H14" s="19" t="n">
        <f aca="false">IF($A14="","",$F14+$G14)</f>
        <v>13.1166282932417</v>
      </c>
      <c r="I14" s="19" t="n">
        <f aca="false">IF($A14="","",IFERROR($H14/(1-MargemLiquidaDesejada-Impostos-TaxaCartao-Comissao),"Ajustar parâmetros"))</f>
        <v>20.3358578189794</v>
      </c>
      <c r="J14" s="20" t="n">
        <f aca="false">IF(OR($A14="",$C14=""),"",IFERROR($F14/$C14,""))</f>
        <v>0.337772219849936</v>
      </c>
      <c r="K14" s="20" t="n">
        <f aca="false">IF(OR($A14="",$C14=""),"",IFERROR(($C14-$H14-$C14*(Impostos+TaxaCartao+Comissao))/$C14,""))</f>
        <v>0.0188681483288938</v>
      </c>
      <c r="L14" s="19" t="n">
        <f aca="false">IF(OR($A14="",$C14=""),"",$C14-$H14-$C14*(Impostos+TaxaCartao+Comissao))</f>
        <v>0.318871706758304</v>
      </c>
      <c r="M14" s="19" t="n">
        <f aca="false">IF(OR($A14="",$C14="",NOT(ISNUMBER($I14))),"",$C14-$I14)</f>
        <v>-3.43585781897937</v>
      </c>
      <c r="N14" s="42" t="str">
        <f aca="false">IF(OR($A14="",$K14=""),"",IF($K14&gt;=MargemLiquidaDesejada,"🟢 Margem Saudável",IF($K14&gt;=MargemLiquidaDesejada*0.8,"🟡 Atenção","🔴 Abaixo da Meta")))</f>
        <v>🔴 Abaixo da Meta</v>
      </c>
    </row>
    <row r="15" customFormat="false" ht="15" hidden="false" customHeight="true" outlineLevel="0" collapsed="false">
      <c r="A15" s="29" t="s">
        <v>185</v>
      </c>
      <c r="B15" s="29" t="s">
        <v>231</v>
      </c>
      <c r="C15" s="39" t="n">
        <v>22.9</v>
      </c>
      <c r="D15" s="40" t="n">
        <f aca="false">IF($A15="","",SUMIFS(FichaTecnica_QtdGML,FichaTecnica_Produto,$A15))</f>
        <v>390</v>
      </c>
      <c r="E15" s="19" t="n">
        <f aca="false">IF($A15="","",SUMIFS(FichaTecnica_CustoTotal,FichaTecnica_Produto,$A15))</f>
        <v>7.17402</v>
      </c>
      <c r="F15" s="19" t="n">
        <f aca="false">IF($A15="","",IFERROR($E15/(1-Perdas),$E15))</f>
        <v>7.39589690721649</v>
      </c>
      <c r="G15" s="41" t="n">
        <f aca="false">IF($A15="","",IFERROR(INDEX(Rateio_CustoFixoPorVendaLinha,MATCH(LojaSelecionada,Rateio_LojasHeader,0)),0))</f>
        <v>7.40827777777778</v>
      </c>
      <c r="H15" s="19" t="n">
        <f aca="false">IF($A15="","",$F15+$G15)</f>
        <v>14.8041746849943</v>
      </c>
      <c r="I15" s="19" t="n">
        <f aca="false">IF($A15="","",IFERROR($H15/(1-MargemLiquidaDesejada-Impostos-TaxaCartao-Comissao),"Ajustar parâmetros"))</f>
        <v>22.9522088139446</v>
      </c>
      <c r="J15" s="20" t="n">
        <f aca="false">IF(OR($A15="",$C15=""),"",IFERROR($F15/$C15,""))</f>
        <v>0.322964930446135</v>
      </c>
      <c r="K15" s="20" t="n">
        <f aca="false">IF(OR($A15="",$C15=""),"",IFERROR(($C15-$H15-$C15*(Impostos+TaxaCartao+Comissao))/$C15,""))</f>
        <v>0.148529489738241</v>
      </c>
      <c r="L15" s="19" t="n">
        <f aca="false">IF(OR($A15="",$C15=""),"",$C15-$H15-$C15*(Impostos+TaxaCartao+Comissao))</f>
        <v>3.40132531500573</v>
      </c>
      <c r="M15" s="19" t="n">
        <f aca="false">IF(OR($A15="",$C15="",NOT(ISNUMBER($I15))),"",$C15-$I15)</f>
        <v>-0.0522088139446097</v>
      </c>
      <c r="N15" s="42" t="str">
        <f aca="false">IF(OR($A15="",$K15=""),"",IF($K15&gt;=MargemLiquidaDesejada,"🟢 Margem Saudável",IF($K15&gt;=MargemLiquidaDesejada*0.8,"🟡 Atenção","🔴 Abaixo da Meta")))</f>
        <v>🟡 Atenção</v>
      </c>
    </row>
    <row r="16" customFormat="false" ht="15" hidden="false" customHeight="true" outlineLevel="0" collapsed="false">
      <c r="A16" s="29" t="s">
        <v>186</v>
      </c>
      <c r="B16" s="29" t="s">
        <v>231</v>
      </c>
      <c r="C16" s="39" t="n">
        <v>29.9</v>
      </c>
      <c r="D16" s="40" t="n">
        <f aca="false">IF($A16="","",SUMIFS(FichaTecnica_QtdGML,FichaTecnica_Produto,$A16))</f>
        <v>590</v>
      </c>
      <c r="E16" s="19" t="n">
        <f aca="false">IF($A16="","",SUMIFS(FichaTecnica_CustoTotal,FichaTecnica_Produto,$A16))</f>
        <v>10.57395</v>
      </c>
      <c r="F16" s="19" t="n">
        <f aca="false">IF($A16="","",IFERROR($E16/(1-Perdas),$E16))</f>
        <v>10.9009793814433</v>
      </c>
      <c r="G16" s="41" t="n">
        <f aca="false">IF($A16="","",IFERROR(INDEX(Rateio_CustoFixoPorVendaLinha,MATCH(LojaSelecionada,Rateio_LojasHeader,0)),0))</f>
        <v>7.40827777777778</v>
      </c>
      <c r="H16" s="19" t="n">
        <f aca="false">IF($A16="","",$F16+$G16)</f>
        <v>18.3092571592211</v>
      </c>
      <c r="I16" s="19" t="n">
        <f aca="false">IF($A16="","",IFERROR($H16/(1-MargemLiquidaDesejada-Impostos-TaxaCartao-Comissao),"Ajustar parâmetros"))</f>
        <v>28.3864452080947</v>
      </c>
      <c r="J16" s="20" t="n">
        <f aca="false">IF(OR($A16="",$C16=""),"",IFERROR($F16/$C16,""))</f>
        <v>0.364581250215495</v>
      </c>
      <c r="K16" s="20" t="n">
        <f aca="false">IF(OR($A16="",$C16=""),"",IFERROR(($C16-$H16-$C16*(Impostos+TaxaCartao+Comissao))/$C16,""))</f>
        <v>0.182650262233409</v>
      </c>
      <c r="L16" s="19" t="n">
        <f aca="false">IF(OR($A16="",$C16=""),"",$C16-$H16-$C16*(Impostos+TaxaCartao+Comissao))</f>
        <v>5.46124284077892</v>
      </c>
      <c r="M16" s="19" t="n">
        <f aca="false">IF(OR($A16="",$C16="",NOT(ISNUMBER($I16))),"",$C16-$I16)</f>
        <v>1.51355479190531</v>
      </c>
      <c r="N16" s="42" t="str">
        <f aca="false">IF(OR($A16="",$K16=""),"",IF($K16&gt;=MargemLiquidaDesejada,"🟢 Margem Saudável",IF($K16&gt;=MargemLiquidaDesejada*0.8,"🟡 Atenção","🔴 Abaixo da Meta")))</f>
        <v>🟢 Margem Saudável</v>
      </c>
    </row>
    <row r="17" customFormat="false" ht="15" hidden="false" customHeight="true" outlineLevel="0" collapsed="false">
      <c r="A17" s="29" t="s">
        <v>187</v>
      </c>
      <c r="B17" s="29" t="s">
        <v>231</v>
      </c>
      <c r="C17" s="39" t="n">
        <v>16.9</v>
      </c>
      <c r="D17" s="40" t="n">
        <f aca="false">IF($A17="","",SUMIFS(FichaTecnica_QtdGML,FichaTecnica_Produto,$A17))</f>
        <v>260</v>
      </c>
      <c r="E17" s="19" t="n">
        <f aca="false">IF($A17="","",SUMIFS(FichaTecnica_CustoTotal,FichaTecnica_Produto,$A17))</f>
        <v>3.81713076923077</v>
      </c>
      <c r="F17" s="19" t="n">
        <f aca="false">IF($A17="","",IFERROR($E17/(1-Perdas),$E17))</f>
        <v>3.93518636003172</v>
      </c>
      <c r="G17" s="41" t="n">
        <f aca="false">IF($A17="","",IFERROR(INDEX(Rateio_CustoFixoPorVendaLinha,MATCH(LojaSelecionada,Rateio_LojasHeader,0)),0))</f>
        <v>7.40827777777778</v>
      </c>
      <c r="H17" s="19" t="n">
        <f aca="false">IF($A17="","",$F17+$G17)</f>
        <v>11.3434641378095</v>
      </c>
      <c r="I17" s="19" t="n">
        <f aca="false">IF($A17="","",IFERROR($H17/(1-MargemLiquidaDesejada-Impostos-TaxaCartao-Comissao),"Ajustar parâmetros"))</f>
        <v>17.586766105131</v>
      </c>
      <c r="J17" s="20" t="n">
        <f aca="false">IF(OR($A17="",$C17=""),"",IFERROR($F17/$C17,""))</f>
        <v>0.232851263907202</v>
      </c>
      <c r="K17" s="20" t="n">
        <f aca="false">IF(OR($A17="",$C17=""),"",IFERROR(($C17-$H17-$C17*(Impostos+TaxaCartao+Comissao))/$C17,""))</f>
        <v>0.123789104271627</v>
      </c>
      <c r="L17" s="19" t="n">
        <f aca="false">IF(OR($A17="",$C17=""),"",$C17-$H17-$C17*(Impostos+TaxaCartao+Comissao))</f>
        <v>2.0920358621905</v>
      </c>
      <c r="M17" s="19" t="n">
        <f aca="false">IF(OR($A17="",$C17="",NOT(ISNUMBER($I17))),"",$C17-$I17)</f>
        <v>-0.686766105131007</v>
      </c>
      <c r="N17" s="42" t="str">
        <f aca="false">IF(OR($A17="",$K17=""),"",IF($K17&gt;=MargemLiquidaDesejada,"🟢 Margem Saudável",IF($K17&gt;=MargemLiquidaDesejada*0.8,"🟡 Atenção","🔴 Abaixo da Meta")))</f>
        <v>🟡 Atenção</v>
      </c>
    </row>
    <row r="18" customFormat="false" ht="15" hidden="false" customHeight="true" outlineLevel="0" collapsed="false">
      <c r="A18" s="29" t="s">
        <v>188</v>
      </c>
      <c r="B18" s="29" t="s">
        <v>231</v>
      </c>
      <c r="C18" s="39" t="n">
        <v>22.9</v>
      </c>
      <c r="D18" s="40" t="n">
        <f aca="false">IF($A18="","",SUMIFS(FichaTecnica_QtdGML,FichaTecnica_Produto,$A18))</f>
        <v>360</v>
      </c>
      <c r="E18" s="19" t="n">
        <f aca="false">IF($A18="","",SUMIFS(FichaTecnica_CustoTotal,FichaTecnica_Produto,$A18))</f>
        <v>5.45405076923077</v>
      </c>
      <c r="F18" s="19" t="n">
        <f aca="false">IF($A18="","",IFERROR($E18/(1-Perdas),$E18))</f>
        <v>5.6227327517843</v>
      </c>
      <c r="G18" s="41" t="n">
        <f aca="false">IF($A18="","",IFERROR(INDEX(Rateio_CustoFixoPorVendaLinha,MATCH(LojaSelecionada,Rateio_LojasHeader,0)),0))</f>
        <v>7.40827777777778</v>
      </c>
      <c r="H18" s="19" t="n">
        <f aca="false">IF($A18="","",$F18+$G18)</f>
        <v>13.0310105295621</v>
      </c>
      <c r="I18" s="19" t="n">
        <f aca="false">IF($A18="","",IFERROR($H18/(1-MargemLiquidaDesejada-Impostos-TaxaCartao-Comissao),"Ajustar parâmetros"))</f>
        <v>20.2031171000962</v>
      </c>
      <c r="J18" s="20" t="n">
        <f aca="false">IF(OR($A18="",$C18=""),"",IFERROR($F18/$C18,""))</f>
        <v>0.245534181300624</v>
      </c>
      <c r="K18" s="20" t="n">
        <f aca="false">IF(OR($A18="",$C18=""),"",IFERROR(($C18-$H18-$C18*(Impostos+TaxaCartao+Comissao))/$C18,""))</f>
        <v>0.225960238883752</v>
      </c>
      <c r="L18" s="19" t="n">
        <f aca="false">IF(OR($A18="",$C18=""),"",$C18-$H18-$C18*(Impostos+TaxaCartao+Comissao))</f>
        <v>5.17448947043792</v>
      </c>
      <c r="M18" s="19" t="n">
        <f aca="false">IF(OR($A18="",$C18="",NOT(ISNUMBER($I18))),"",$C18-$I18)</f>
        <v>2.69688289990376</v>
      </c>
      <c r="N18" s="42" t="str">
        <f aca="false">IF(OR($A18="",$K18=""),"",IF($K18&gt;=MargemLiquidaDesejada,"🟢 Margem Saudável",IF($K18&gt;=MargemLiquidaDesejada*0.8,"🟡 Atenção","🔴 Abaixo da Meta")))</f>
        <v>🟢 Margem Saudável</v>
      </c>
    </row>
    <row r="19" customFormat="false" ht="15" hidden="false" customHeight="true" outlineLevel="0" collapsed="false">
      <c r="A19" s="29" t="s">
        <v>189</v>
      </c>
      <c r="B19" s="29" t="s">
        <v>231</v>
      </c>
      <c r="C19" s="39" t="n">
        <v>29.9</v>
      </c>
      <c r="D19" s="40" t="n">
        <f aca="false">IF($A19="","",SUMIFS(FichaTecnica_QtdGML,FichaTecnica_Produto,$A19))</f>
        <v>560</v>
      </c>
      <c r="E19" s="19" t="n">
        <f aca="false">IF($A19="","",SUMIFS(FichaTecnica_CustoTotal,FichaTecnica_Produto,$A19))</f>
        <v>8.85398076923077</v>
      </c>
      <c r="F19" s="19" t="n">
        <f aca="false">IF($A19="","",IFERROR($E19/(1-Perdas),$E19))</f>
        <v>9.1278152260111</v>
      </c>
      <c r="G19" s="41" t="n">
        <f aca="false">IF($A19="","",IFERROR(INDEX(Rateio_CustoFixoPorVendaLinha,MATCH(LojaSelecionada,Rateio_LojasHeader,0)),0))</f>
        <v>7.40827777777778</v>
      </c>
      <c r="H19" s="19" t="n">
        <f aca="false">IF($A19="","",$F19+$G19)</f>
        <v>16.5360930037889</v>
      </c>
      <c r="I19" s="19" t="n">
        <f aca="false">IF($A19="","",IFERROR($H19/(1-MargemLiquidaDesejada-Impostos-TaxaCartao-Comissao),"Ajustar parâmetros"))</f>
        <v>25.6373534942463</v>
      </c>
      <c r="J19" s="20" t="n">
        <f aca="false">IF(OR($A19="",$C19=""),"",IFERROR($F19/$C19,""))</f>
        <v>0.305278101204385</v>
      </c>
      <c r="K19" s="20" t="n">
        <f aca="false">IF(OR($A19="",$C19=""),"",IFERROR(($C19-$H19-$C19*(Impostos+TaxaCartao+Comissao))/$C19,""))</f>
        <v>0.241953411244519</v>
      </c>
      <c r="L19" s="19" t="n">
        <f aca="false">IF(OR($A19="",$C19=""),"",$C19-$H19-$C19*(Impostos+TaxaCartao+Comissao))</f>
        <v>7.23440699621112</v>
      </c>
      <c r="M19" s="19" t="n">
        <f aca="false">IF(OR($A19="",$C19="",NOT(ISNUMBER($I19))),"",$C19-$I19)</f>
        <v>4.26264650575367</v>
      </c>
      <c r="N19" s="42" t="str">
        <f aca="false">IF(OR($A19="",$K19=""),"",IF($K19&gt;=MargemLiquidaDesejada,"🟢 Margem Saudável",IF($K19&gt;=MargemLiquidaDesejada*0.8,"🟡 Atenção","🔴 Abaixo da Meta")))</f>
        <v>🟢 Margem Saudável</v>
      </c>
    </row>
    <row r="20" customFormat="false" ht="15" hidden="false" customHeight="true" outlineLevel="0" collapsed="false">
      <c r="A20" s="29" t="s">
        <v>190</v>
      </c>
      <c r="B20" s="29" t="s">
        <v>231</v>
      </c>
      <c r="C20" s="39" t="n">
        <v>16.9</v>
      </c>
      <c r="D20" s="40" t="n">
        <f aca="false">IF($A20="","",SUMIFS(FichaTecnica_QtdGML,FichaTecnica_Produto,$A20))</f>
        <v>260</v>
      </c>
      <c r="E20" s="19" t="n">
        <f aca="false">IF($A20="","",SUMIFS(FichaTecnica_CustoTotal,FichaTecnica_Produto,$A20))</f>
        <v>4.31213076923077</v>
      </c>
      <c r="F20" s="19" t="n">
        <f aca="false">IF($A20="","",IFERROR($E20/(1-Perdas),$E20))</f>
        <v>4.44549563838224</v>
      </c>
      <c r="G20" s="41" t="n">
        <f aca="false">IF($A20="","",IFERROR(INDEX(Rateio_CustoFixoPorVendaLinha,MATCH(LojaSelecionada,Rateio_LojasHeader,0)),0))</f>
        <v>7.40827777777778</v>
      </c>
      <c r="H20" s="19" t="n">
        <f aca="false">IF($A20="","",$F20+$G20)</f>
        <v>11.85377341616</v>
      </c>
      <c r="I20" s="19" t="n">
        <f aca="false">IF($A20="","",IFERROR($H20/(1-MargemLiquidaDesejada-Impostos-TaxaCartao-Comissao),"Ajustar parâmetros"))</f>
        <v>18.3779432808682</v>
      </c>
      <c r="J20" s="20" t="n">
        <f aca="false">IF(OR($A20="",$C20=""),"",IFERROR($F20/$C20,""))</f>
        <v>0.263047079194215</v>
      </c>
      <c r="K20" s="20" t="n">
        <f aca="false">IF(OR($A20="",$C20=""),"",IFERROR(($C20-$H20-$C20*(Impostos+TaxaCartao+Comissao))/$C20,""))</f>
        <v>0.0935932889846145</v>
      </c>
      <c r="L20" s="19" t="n">
        <f aca="false">IF(OR($A20="",$C20=""),"",$C20-$H20-$C20*(Impostos+TaxaCartao+Comissao))</f>
        <v>1.58172658383999</v>
      </c>
      <c r="M20" s="19" t="n">
        <f aca="false">IF(OR($A20="",$C20="",NOT(ISNUMBER($I20))),"",$C20-$I20)</f>
        <v>-1.47794328086824</v>
      </c>
      <c r="N20" s="42" t="str">
        <f aca="false">IF(OR($A20="",$K20=""),"",IF($K20&gt;=MargemLiquidaDesejada,"🟢 Margem Saudável",IF($K20&gt;=MargemLiquidaDesejada*0.8,"🟡 Atenção","🔴 Abaixo da Meta")))</f>
        <v>🔴 Abaixo da Meta</v>
      </c>
    </row>
    <row r="21" customFormat="false" ht="15" hidden="false" customHeight="true" outlineLevel="0" collapsed="false">
      <c r="A21" s="29" t="s">
        <v>191</v>
      </c>
      <c r="B21" s="29" t="s">
        <v>231</v>
      </c>
      <c r="C21" s="39" t="n">
        <v>22.9</v>
      </c>
      <c r="D21" s="40" t="n">
        <f aca="false">IF($A21="","",SUMIFS(FichaTecnica_QtdGML,FichaTecnica_Produto,$A21))</f>
        <v>360</v>
      </c>
      <c r="E21" s="19" t="n">
        <f aca="false">IF($A21="","",SUMIFS(FichaTecnica_CustoTotal,FichaTecnica_Produto,$A21))</f>
        <v>5.94905076923077</v>
      </c>
      <c r="F21" s="19" t="n">
        <f aca="false">IF($A21="","",IFERROR($E21/(1-Perdas),$E21))</f>
        <v>6.13304203013481</v>
      </c>
      <c r="G21" s="41" t="n">
        <f aca="false">IF($A21="","",IFERROR(INDEX(Rateio_CustoFixoPorVendaLinha,MATCH(LojaSelecionada,Rateio_LojasHeader,0)),0))</f>
        <v>7.40827777777778</v>
      </c>
      <c r="H21" s="19" t="n">
        <f aca="false">IF($A21="","",$F21+$G21)</f>
        <v>13.5413198079126</v>
      </c>
      <c r="I21" s="19" t="n">
        <f aca="false">IF($A21="","",IFERROR($H21/(1-MargemLiquidaDesejada-Impostos-TaxaCartao-Comissao),"Ajustar parâmetros"))</f>
        <v>20.9942942758335</v>
      </c>
      <c r="J21" s="20" t="n">
        <f aca="false">IF(OR($A21="",$C21=""),"",IFERROR($F21/$C21,""))</f>
        <v>0.267818429263529</v>
      </c>
      <c r="K21" s="20" t="n">
        <f aca="false">IF(OR($A21="",$C21=""),"",IFERROR(($C21-$H21-$C21*(Impostos+TaxaCartao+Comissao))/$C21,""))</f>
        <v>0.203675990920847</v>
      </c>
      <c r="L21" s="19" t="n">
        <f aca="false">IF(OR($A21="",$C21=""),"",$C21-$H21-$C21*(Impostos+TaxaCartao+Comissao))</f>
        <v>4.66418019208741</v>
      </c>
      <c r="M21" s="19" t="n">
        <f aca="false">IF(OR($A21="",$C21="",NOT(ISNUMBER($I21))),"",$C21-$I21)</f>
        <v>1.90570572416652</v>
      </c>
      <c r="N21" s="42" t="str">
        <f aca="false">IF(OR($A21="",$K21=""),"",IF($K21&gt;=MargemLiquidaDesejada,"🟢 Margem Saudável",IF($K21&gt;=MargemLiquidaDesejada*0.8,"🟡 Atenção","🔴 Abaixo da Meta")))</f>
        <v>🟢 Margem Saudável</v>
      </c>
    </row>
    <row r="22" customFormat="false" ht="15" hidden="false" customHeight="true" outlineLevel="0" collapsed="false">
      <c r="A22" s="29" t="s">
        <v>192</v>
      </c>
      <c r="B22" s="29" t="s">
        <v>231</v>
      </c>
      <c r="C22" s="39" t="n">
        <v>29.9</v>
      </c>
      <c r="D22" s="40" t="n">
        <f aca="false">IF($A22="","",SUMIFS(FichaTecnica_QtdGML,FichaTecnica_Produto,$A22))</f>
        <v>560</v>
      </c>
      <c r="E22" s="19" t="n">
        <f aca="false">IF($A22="","",SUMIFS(FichaTecnica_CustoTotal,FichaTecnica_Produto,$A22))</f>
        <v>9.34898076923077</v>
      </c>
      <c r="F22" s="19" t="n">
        <f aca="false">IF($A22="","",IFERROR($E22/(1-Perdas),$E22))</f>
        <v>9.63812450436162</v>
      </c>
      <c r="G22" s="41" t="n">
        <f aca="false">IF($A22="","",IFERROR(INDEX(Rateio_CustoFixoPorVendaLinha,MATCH(LojaSelecionada,Rateio_LojasHeader,0)),0))</f>
        <v>7.40827777777778</v>
      </c>
      <c r="H22" s="19" t="n">
        <f aca="false">IF($A22="","",$F22+$G22)</f>
        <v>17.0464022821394</v>
      </c>
      <c r="I22" s="19" t="n">
        <f aca="false">IF($A22="","",IFERROR($H22/(1-MargemLiquidaDesejada-Impostos-TaxaCartao-Comissao),"Ajustar parâmetros"))</f>
        <v>26.4285306699836</v>
      </c>
      <c r="J22" s="20" t="n">
        <f aca="false">IF(OR($A22="",$C22=""),"",IFERROR($F22/$C22,""))</f>
        <v>0.322345301149218</v>
      </c>
      <c r="K22" s="20" t="n">
        <f aca="false">IF(OR($A22="",$C22=""),"",IFERROR(($C22-$H22-$C22*(Impostos+TaxaCartao+Comissao))/$C22,""))</f>
        <v>0.224886211299686</v>
      </c>
      <c r="L22" s="19" t="n">
        <f aca="false">IF(OR($A22="",$C22=""),"",$C22-$H22-$C22*(Impostos+TaxaCartao+Comissao))</f>
        <v>6.7240977178606</v>
      </c>
      <c r="M22" s="19" t="n">
        <f aca="false">IF(OR($A22="",$C22="",NOT(ISNUMBER($I22))),"",$C22-$I22)</f>
        <v>3.47146933001644</v>
      </c>
      <c r="N22" s="42" t="str">
        <f aca="false">IF(OR($A22="",$K22=""),"",IF($K22&gt;=MargemLiquidaDesejada,"🟢 Margem Saudável",IF($K22&gt;=MargemLiquidaDesejada*0.8,"🟡 Atenção","🔴 Abaixo da Meta")))</f>
        <v>🟢 Margem Saudável</v>
      </c>
    </row>
    <row r="23" customFormat="false" ht="15" hidden="false" customHeight="true" outlineLevel="0" collapsed="false">
      <c r="A23" s="29" t="s">
        <v>193</v>
      </c>
      <c r="B23" s="29" t="s">
        <v>231</v>
      </c>
      <c r="C23" s="39" t="n">
        <v>16.9</v>
      </c>
      <c r="D23" s="40" t="n">
        <f aca="false">IF($A23="","",SUMIFS(FichaTecnica_QtdGML,FichaTecnica_Produto,$A23))</f>
        <v>260</v>
      </c>
      <c r="E23" s="19" t="n">
        <f aca="false">IF($A23="","",SUMIFS(FichaTecnica_CustoTotal,FichaTecnica_Produto,$A23))</f>
        <v>4.48703076923077</v>
      </c>
      <c r="F23" s="19" t="n">
        <f aca="false">IF($A23="","",IFERROR($E23/(1-Perdas),$E23))</f>
        <v>4.62580491673275</v>
      </c>
      <c r="G23" s="41" t="n">
        <f aca="false">IF($A23="","",IFERROR(INDEX(Rateio_CustoFixoPorVendaLinha,MATCH(LojaSelecionada,Rateio_LojasHeader,0)),0))</f>
        <v>7.40827777777778</v>
      </c>
      <c r="H23" s="19" t="n">
        <f aca="false">IF($A23="","",$F23+$G23)</f>
        <v>12.0340826945105</v>
      </c>
      <c r="I23" s="19" t="n">
        <f aca="false">IF($A23="","",IFERROR($H23/(1-MargemLiquidaDesejada-Impostos-TaxaCartao-Comissao),"Ajustar parâmetros"))</f>
        <v>18.6574925496287</v>
      </c>
      <c r="J23" s="20" t="n">
        <f aca="false">IF(OR($A23="",$C23=""),"",IFERROR($F23/$C23,""))</f>
        <v>0.273716267262293</v>
      </c>
      <c r="K23" s="20" t="n">
        <f aca="false">IF(OR($A23="",$C23=""),"",IFERROR(($C23-$H23-$C23*(Impostos+TaxaCartao+Comissao))/$C23,""))</f>
        <v>0.0829241009165366</v>
      </c>
      <c r="L23" s="19" t="n">
        <f aca="false">IF(OR($A23="",$C23=""),"",$C23-$H23-$C23*(Impostos+TaxaCartao+Comissao))</f>
        <v>1.40141730548947</v>
      </c>
      <c r="M23" s="19" t="n">
        <f aca="false">IF(OR($A23="",$C23="",NOT(ISNUMBER($I23))),"",$C23-$I23)</f>
        <v>-1.75749254962873</v>
      </c>
      <c r="N23" s="42" t="str">
        <f aca="false">IF(OR($A23="",$K23=""),"",IF($K23&gt;=MargemLiquidaDesejada,"🟢 Margem Saudável",IF($K23&gt;=MargemLiquidaDesejada*0.8,"🟡 Atenção","🔴 Abaixo da Meta")))</f>
        <v>🔴 Abaixo da Meta</v>
      </c>
    </row>
    <row r="24" customFormat="false" ht="15" hidden="false" customHeight="true" outlineLevel="0" collapsed="false">
      <c r="A24" s="29" t="s">
        <v>194</v>
      </c>
      <c r="B24" s="29" t="s">
        <v>231</v>
      </c>
      <c r="C24" s="39" t="n">
        <v>22.9</v>
      </c>
      <c r="D24" s="40" t="n">
        <f aca="false">IF($A24="","",SUMIFS(FichaTecnica_QtdGML,FichaTecnica_Produto,$A24))</f>
        <v>360</v>
      </c>
      <c r="E24" s="19" t="n">
        <f aca="false">IF($A24="","",SUMIFS(FichaTecnica_CustoTotal,FichaTecnica_Produto,$A24))</f>
        <v>6.12395076923077</v>
      </c>
      <c r="F24" s="19" t="n">
        <f aca="false">IF($A24="","",IFERROR($E24/(1-Perdas),$E24))</f>
        <v>6.31335130848533</v>
      </c>
      <c r="G24" s="41" t="n">
        <f aca="false">IF($A24="","",IFERROR(INDEX(Rateio_CustoFixoPorVendaLinha,MATCH(LojaSelecionada,Rateio_LojasHeader,0)),0))</f>
        <v>7.40827777777778</v>
      </c>
      <c r="H24" s="19" t="n">
        <f aca="false">IF($A24="","",$F24+$G24)</f>
        <v>13.7216290862631</v>
      </c>
      <c r="I24" s="19" t="n">
        <f aca="false">IF($A24="","",IFERROR($H24/(1-MargemLiquidaDesejada-Impostos-TaxaCartao-Comissao),"Ajustar parâmetros"))</f>
        <v>21.273843544594</v>
      </c>
      <c r="J24" s="20" t="n">
        <f aca="false">IF(OR($A24="",$C24=""),"",IFERROR($F24/$C24,""))</f>
        <v>0.275692196877089</v>
      </c>
      <c r="K24" s="20" t="n">
        <f aca="false">IF(OR($A24="",$C24=""),"",IFERROR(($C24-$H24-$C24*(Impostos+TaxaCartao+Comissao))/$C24,""))</f>
        <v>0.195802223307288</v>
      </c>
      <c r="L24" s="19" t="n">
        <f aca="false">IF(OR($A24="",$C24=""),"",$C24-$H24-$C24*(Impostos+TaxaCartao+Comissao))</f>
        <v>4.48387091373689</v>
      </c>
      <c r="M24" s="19" t="n">
        <f aca="false">IF(OR($A24="",$C24="",NOT(ISNUMBER($I24))),"",$C24-$I24)</f>
        <v>1.62615645540604</v>
      </c>
      <c r="N24" s="42" t="str">
        <f aca="false">IF(OR($A24="",$K24=""),"",IF($K24&gt;=MargemLiquidaDesejada,"🟢 Margem Saudável",IF($K24&gt;=MargemLiquidaDesejada*0.8,"🟡 Atenção","🔴 Abaixo da Meta")))</f>
        <v>🟢 Margem Saudável</v>
      </c>
    </row>
    <row r="25" customFormat="false" ht="15" hidden="false" customHeight="true" outlineLevel="0" collapsed="false">
      <c r="A25" s="29" t="s">
        <v>195</v>
      </c>
      <c r="B25" s="29" t="s">
        <v>231</v>
      </c>
      <c r="C25" s="39" t="n">
        <v>29.9</v>
      </c>
      <c r="D25" s="40" t="n">
        <f aca="false">IF($A25="","",SUMIFS(FichaTecnica_QtdGML,FichaTecnica_Produto,$A25))</f>
        <v>560</v>
      </c>
      <c r="E25" s="19" t="n">
        <f aca="false">IF($A25="","",SUMIFS(FichaTecnica_CustoTotal,FichaTecnica_Produto,$A25))</f>
        <v>9.52388076923077</v>
      </c>
      <c r="F25" s="19" t="n">
        <f aca="false">IF($A25="","",IFERROR($E25/(1-Perdas),$E25))</f>
        <v>9.81843378271213</v>
      </c>
      <c r="G25" s="41" t="n">
        <f aca="false">IF($A25="","",IFERROR(INDEX(Rateio_CustoFixoPorVendaLinha,MATCH(LojaSelecionada,Rateio_LojasHeader,0)),0))</f>
        <v>7.40827777777778</v>
      </c>
      <c r="H25" s="19" t="n">
        <f aca="false">IF($A25="","",$F25+$G25)</f>
        <v>17.2267115604899</v>
      </c>
      <c r="I25" s="19" t="n">
        <f aca="false">IF($A25="","",IFERROR($H25/(1-MargemLiquidaDesejada-Impostos-TaxaCartao-Comissao),"Ajustar parâmetros"))</f>
        <v>26.708079938744</v>
      </c>
      <c r="J25" s="20" t="n">
        <f aca="false">IF(OR($A25="",$C25=""),"",IFERROR($F25/$C25,""))</f>
        <v>0.328375711796392</v>
      </c>
      <c r="K25" s="20" t="n">
        <f aca="false">IF(OR($A25="",$C25=""),"",IFERROR(($C25-$H25-$C25*(Impostos+TaxaCartao+Comissao))/$C25,""))</f>
        <v>0.218855800652511</v>
      </c>
      <c r="L25" s="19" t="n">
        <f aca="false">IF(OR($A25="",$C25=""),"",$C25-$H25-$C25*(Impostos+TaxaCartao+Comissao))</f>
        <v>6.54378843951009</v>
      </c>
      <c r="M25" s="19" t="n">
        <f aca="false">IF(OR($A25="",$C25="",NOT(ISNUMBER($I25))),"",$C25-$I25)</f>
        <v>3.19192006125595</v>
      </c>
      <c r="N25" s="42" t="str">
        <f aca="false">IF(OR($A25="",$K25=""),"",IF($K25&gt;=MargemLiquidaDesejada,"🟢 Margem Saudável",IF($K25&gt;=MargemLiquidaDesejada*0.8,"🟡 Atenção","🔴 Abaixo da Meta")))</f>
        <v>🟢 Margem Saudável</v>
      </c>
    </row>
    <row r="26" customFormat="false" ht="15" hidden="false" customHeight="true" outlineLevel="0" collapsed="false">
      <c r="A26" s="29" t="s">
        <v>196</v>
      </c>
      <c r="B26" s="29" t="s">
        <v>231</v>
      </c>
      <c r="C26" s="39" t="n">
        <v>16.9</v>
      </c>
      <c r="D26" s="40" t="n">
        <f aca="false">IF($A26="","",SUMIFS(FichaTecnica_QtdGML,FichaTecnica_Produto,$A26))</f>
        <v>260</v>
      </c>
      <c r="E26" s="19" t="n">
        <f aca="false">IF($A26="","",SUMIFS(FichaTecnica_CustoTotal,FichaTecnica_Produto,$A26))</f>
        <v>4.22363076923077</v>
      </c>
      <c r="F26" s="19" t="n">
        <f aca="false">IF($A26="","",IFERROR($E26/(1-Perdas),$E26))</f>
        <v>4.35425852498018</v>
      </c>
      <c r="G26" s="41" t="n">
        <f aca="false">IF($A26="","",IFERROR(INDEX(Rateio_CustoFixoPorVendaLinha,MATCH(LojaSelecionada,Rateio_LojasHeader,0)),0))</f>
        <v>7.40827777777778</v>
      </c>
      <c r="H26" s="19" t="n">
        <f aca="false">IF($A26="","",$F26+$G26)</f>
        <v>11.762536302758</v>
      </c>
      <c r="I26" s="19" t="n">
        <f aca="false">IF($A26="","",IFERROR($H26/(1-MargemLiquidaDesejada-Impostos-TaxaCartao-Comissao),"Ajustar parâmetros"))</f>
        <v>18.2364903918728</v>
      </c>
      <c r="J26" s="20" t="n">
        <f aca="false">IF(OR($A26="",$C26=""),"",IFERROR($F26/$C26,""))</f>
        <v>0.25764843343078</v>
      </c>
      <c r="K26" s="20" t="n">
        <f aca="false">IF(OR($A26="",$C26=""),"",IFERROR(($C26-$H26-$C26*(Impostos+TaxaCartao+Comissao))/$C26,""))</f>
        <v>0.0989919347480501</v>
      </c>
      <c r="L26" s="19" t="n">
        <f aca="false">IF(OR($A26="",$C26=""),"",$C26-$H26-$C26*(Impostos+TaxaCartao+Comissao))</f>
        <v>1.67296369724205</v>
      </c>
      <c r="M26" s="19" t="n">
        <f aca="false">IF(OR($A26="",$C26="",NOT(ISNUMBER($I26))),"",$C26-$I26)</f>
        <v>-1.3364903918728</v>
      </c>
      <c r="N26" s="42" t="str">
        <f aca="false">IF(OR($A26="",$K26=""),"",IF($K26&gt;=MargemLiquidaDesejada,"🟢 Margem Saudável",IF($K26&gt;=MargemLiquidaDesejada*0.8,"🟡 Atenção","🔴 Abaixo da Meta")))</f>
        <v>🔴 Abaixo da Meta</v>
      </c>
    </row>
    <row r="27" customFormat="false" ht="15" hidden="false" customHeight="true" outlineLevel="0" collapsed="false">
      <c r="A27" s="29" t="s">
        <v>197</v>
      </c>
      <c r="B27" s="29" t="s">
        <v>231</v>
      </c>
      <c r="C27" s="39" t="n">
        <v>22.9</v>
      </c>
      <c r="D27" s="40" t="n">
        <f aca="false">IF($A27="","",SUMIFS(FichaTecnica_QtdGML,FichaTecnica_Produto,$A27))</f>
        <v>360</v>
      </c>
      <c r="E27" s="19" t="n">
        <f aca="false">IF($A27="","",SUMIFS(FichaTecnica_CustoTotal,FichaTecnica_Produto,$A27))</f>
        <v>5.86055076923077</v>
      </c>
      <c r="F27" s="19" t="n">
        <f aca="false">IF($A27="","",IFERROR($E27/(1-Perdas),$E27))</f>
        <v>6.04180491673275</v>
      </c>
      <c r="G27" s="41" t="n">
        <f aca="false">IF($A27="","",IFERROR(INDEX(Rateio_CustoFixoPorVendaLinha,MATCH(LojaSelecionada,Rateio_LojasHeader,0)),0))</f>
        <v>7.40827777777778</v>
      </c>
      <c r="H27" s="19" t="n">
        <f aca="false">IF($A27="","",$F27+$G27)</f>
        <v>13.4500826945105</v>
      </c>
      <c r="I27" s="19" t="n">
        <f aca="false">IF($A27="","",IFERROR($H27/(1-MargemLiquidaDesejada-Impostos-TaxaCartao-Comissao),"Ajustar parâmetros"))</f>
        <v>20.852841386838</v>
      </c>
      <c r="J27" s="20" t="n">
        <f aca="false">IF(OR($A27="",$C27=""),"",IFERROR($F27/$C27,""))</f>
        <v>0.263834275839858</v>
      </c>
      <c r="K27" s="20" t="n">
        <f aca="false">IF(OR($A27="",$C27=""),"",IFERROR(($C27-$H27-$C27*(Impostos+TaxaCartao+Comissao))/$C27,""))</f>
        <v>0.207660144344518</v>
      </c>
      <c r="L27" s="19" t="n">
        <f aca="false">IF(OR($A27="",$C27=""),"",$C27-$H27-$C27*(Impostos+TaxaCartao+Comissao))</f>
        <v>4.75541730548947</v>
      </c>
      <c r="M27" s="19" t="n">
        <f aca="false">IF(OR($A27="",$C27="",NOT(ISNUMBER($I27))),"",$C27-$I27)</f>
        <v>2.04715861316197</v>
      </c>
      <c r="N27" s="42" t="str">
        <f aca="false">IF(OR($A27="",$K27=""),"",IF($K27&gt;=MargemLiquidaDesejada,"🟢 Margem Saudável",IF($K27&gt;=MargemLiquidaDesejada*0.8,"🟡 Atenção","🔴 Abaixo da Meta")))</f>
        <v>🟢 Margem Saudável</v>
      </c>
    </row>
    <row r="28" customFormat="false" ht="15" hidden="false" customHeight="true" outlineLevel="0" collapsed="false">
      <c r="A28" s="29" t="s">
        <v>198</v>
      </c>
      <c r="B28" s="29" t="s">
        <v>231</v>
      </c>
      <c r="C28" s="39" t="n">
        <v>29.9</v>
      </c>
      <c r="D28" s="40" t="n">
        <f aca="false">IF($A28="","",SUMIFS(FichaTecnica_QtdGML,FichaTecnica_Produto,$A28))</f>
        <v>560</v>
      </c>
      <c r="E28" s="19" t="n">
        <f aca="false">IF($A28="","",SUMIFS(FichaTecnica_CustoTotal,FichaTecnica_Produto,$A28))</f>
        <v>9.26048076923077</v>
      </c>
      <c r="F28" s="19" t="n">
        <f aca="false">IF($A28="","",IFERROR($E28/(1-Perdas),$E28))</f>
        <v>9.54688739095956</v>
      </c>
      <c r="G28" s="41" t="n">
        <f aca="false">IF($A28="","",IFERROR(INDEX(Rateio_CustoFixoPorVendaLinha,MATCH(LojaSelecionada,Rateio_LojasHeader,0)),0))</f>
        <v>7.40827777777778</v>
      </c>
      <c r="H28" s="19" t="n">
        <f aca="false">IF($A28="","",$F28+$G28)</f>
        <v>16.9551651687373</v>
      </c>
      <c r="I28" s="19" t="n">
        <f aca="false">IF($A28="","",IFERROR($H28/(1-MargemLiquidaDesejada-Impostos-TaxaCartao-Comissao),"Ajustar parâmetros"))</f>
        <v>26.2870777809881</v>
      </c>
      <c r="J28" s="20" t="n">
        <f aca="false">IF(OR($A28="",$C28=""),"",IFERROR($F28/$C28,""))</f>
        <v>0.319293892674233</v>
      </c>
      <c r="K28" s="20" t="n">
        <f aca="false">IF(OR($A28="",$C28=""),"",IFERROR(($C28-$H28-$C28*(Impostos+TaxaCartao+Comissao))/$C28,""))</f>
        <v>0.227937619774671</v>
      </c>
      <c r="L28" s="19" t="n">
        <f aca="false">IF(OR($A28="",$C28=""),"",$C28-$H28-$C28*(Impostos+TaxaCartao+Comissao))</f>
        <v>6.81533483126267</v>
      </c>
      <c r="M28" s="19" t="n">
        <f aca="false">IF(OR($A28="",$C28="",NOT(ISNUMBER($I28))),"",$C28-$I28)</f>
        <v>3.61292221901189</v>
      </c>
      <c r="N28" s="42" t="str">
        <f aca="false">IF(OR($A28="",$K28=""),"",IF($K28&gt;=MargemLiquidaDesejada,"🟢 Margem Saudável",IF($K28&gt;=MargemLiquidaDesejada*0.8,"🟡 Atenção","🔴 Abaixo da Meta")))</f>
        <v>🟢 Margem Saudável</v>
      </c>
    </row>
    <row r="29" customFormat="false" ht="15" hidden="false" customHeight="true" outlineLevel="0" collapsed="false">
      <c r="A29" s="29" t="s">
        <v>199</v>
      </c>
      <c r="B29" s="29" t="s">
        <v>231</v>
      </c>
      <c r="C29" s="39" t="n">
        <v>16.9</v>
      </c>
      <c r="D29" s="40" t="n">
        <f aca="false">IF($A29="","",SUMIFS(FichaTecnica_QtdGML,FichaTecnica_Produto,$A29))</f>
        <v>260</v>
      </c>
      <c r="E29" s="19" t="n">
        <f aca="false">IF($A29="","",SUMIFS(FichaTecnica_CustoTotal,FichaTecnica_Produto,$A29))</f>
        <v>4.2429</v>
      </c>
      <c r="F29" s="19" t="n">
        <f aca="false">IF($A29="","",IFERROR($E29/(1-Perdas),$E29))</f>
        <v>4.37412371134021</v>
      </c>
      <c r="G29" s="41" t="n">
        <f aca="false">IF($A29="","",IFERROR(INDEX(Rateio_CustoFixoPorVendaLinha,MATCH(LojaSelecionada,Rateio_LojasHeader,0)),0))</f>
        <v>7.40827777777778</v>
      </c>
      <c r="H29" s="19" t="n">
        <f aca="false">IF($A29="","",$F29+$G29)</f>
        <v>11.782401489118</v>
      </c>
      <c r="I29" s="19" t="n">
        <f aca="false">IF($A29="","",IFERROR($H29/(1-MargemLiquidaDesejada-Impostos-TaxaCartao-Comissao),"Ajustar parâmetros"))</f>
        <v>18.2672891304155</v>
      </c>
      <c r="J29" s="20" t="n">
        <f aca="false">IF(OR($A29="",$C29=""),"",IFERROR($F29/$C29,""))</f>
        <v>0.258823888244983</v>
      </c>
      <c r="K29" s="20" t="n">
        <f aca="false">IF(OR($A29="",$C29=""),"",IFERROR(($C29-$H29-$C29*(Impostos+TaxaCartao+Comissao))/$C29,""))</f>
        <v>0.0978164799338471</v>
      </c>
      <c r="L29" s="19" t="n">
        <f aca="false">IF(OR($A29="",$C29=""),"",$C29-$H29-$C29*(Impostos+TaxaCartao+Comissao))</f>
        <v>1.65309851088202</v>
      </c>
      <c r="M29" s="19" t="n">
        <f aca="false">IF(OR($A29="",$C29="",NOT(ISNUMBER($I29))),"",$C29-$I29)</f>
        <v>-1.36728913041548</v>
      </c>
      <c r="N29" s="42" t="str">
        <f aca="false">IF(OR($A29="",$K29=""),"",IF($K29&gt;=MargemLiquidaDesejada,"🟢 Margem Saudável",IF($K29&gt;=MargemLiquidaDesejada*0.8,"🟡 Atenção","🔴 Abaixo da Meta")))</f>
        <v>🔴 Abaixo da Meta</v>
      </c>
    </row>
    <row r="30" customFormat="false" ht="15" hidden="false" customHeight="true" outlineLevel="0" collapsed="false">
      <c r="A30" s="29" t="s">
        <v>200</v>
      </c>
      <c r="B30" s="29" t="s">
        <v>231</v>
      </c>
      <c r="C30" s="39" t="n">
        <v>22.9</v>
      </c>
      <c r="D30" s="40" t="n">
        <f aca="false">IF($A30="","",SUMIFS(FichaTecnica_QtdGML,FichaTecnica_Produto,$A30))</f>
        <v>360</v>
      </c>
      <c r="E30" s="19" t="n">
        <f aca="false">IF($A30="","",SUMIFS(FichaTecnica_CustoTotal,FichaTecnica_Produto,$A30))</f>
        <v>5.87982</v>
      </c>
      <c r="F30" s="19" t="n">
        <f aca="false">IF($A30="","",IFERROR($E30/(1-Perdas),$E30))</f>
        <v>6.06167010309278</v>
      </c>
      <c r="G30" s="41" t="n">
        <f aca="false">IF($A30="","",IFERROR(INDEX(Rateio_CustoFixoPorVendaLinha,MATCH(LojaSelecionada,Rateio_LojasHeader,0)),0))</f>
        <v>7.40827777777778</v>
      </c>
      <c r="H30" s="19" t="n">
        <f aca="false">IF($A30="","",$F30+$G30)</f>
        <v>13.4699478808706</v>
      </c>
      <c r="I30" s="19" t="n">
        <f aca="false">IF($A30="","",IFERROR($H30/(1-MargemLiquidaDesejada-Impostos-TaxaCartao-Comissao),"Ajustar parâmetros"))</f>
        <v>20.8836401253807</v>
      </c>
      <c r="J30" s="20" t="n">
        <f aca="false">IF(OR($A30="",$C30=""),"",IFERROR($F30/$C30,""))</f>
        <v>0.264701751226759</v>
      </c>
      <c r="K30" s="20" t="n">
        <f aca="false">IF(OR($A30="",$C30=""),"",IFERROR(($C30-$H30-$C30*(Impostos+TaxaCartao+Comissao))/$C30,""))</f>
        <v>0.206792668957617</v>
      </c>
      <c r="L30" s="19" t="n">
        <f aca="false">IF(OR($A30="",$C30=""),"",$C30-$H30-$C30*(Impostos+TaxaCartao+Comissao))</f>
        <v>4.73555211912944</v>
      </c>
      <c r="M30" s="19" t="n">
        <f aca="false">IF(OR($A30="",$C30="",NOT(ISNUMBER($I30))),"",$C30-$I30)</f>
        <v>2.01635987461929</v>
      </c>
      <c r="N30" s="42" t="str">
        <f aca="false">IF(OR($A30="",$K30=""),"",IF($K30&gt;=MargemLiquidaDesejada,"🟢 Margem Saudável",IF($K30&gt;=MargemLiquidaDesejada*0.8,"🟡 Atenção","🔴 Abaixo da Meta")))</f>
        <v>🟢 Margem Saudável</v>
      </c>
    </row>
    <row r="31" customFormat="false" ht="15" hidden="false" customHeight="true" outlineLevel="0" collapsed="false">
      <c r="A31" s="29" t="s">
        <v>201</v>
      </c>
      <c r="B31" s="29" t="s">
        <v>231</v>
      </c>
      <c r="C31" s="39" t="n">
        <v>29.9</v>
      </c>
      <c r="D31" s="40" t="n">
        <f aca="false">IF($A31="","",SUMIFS(FichaTecnica_QtdGML,FichaTecnica_Produto,$A31))</f>
        <v>560</v>
      </c>
      <c r="E31" s="19" t="n">
        <f aca="false">IF($A31="","",SUMIFS(FichaTecnica_CustoTotal,FichaTecnica_Produto,$A31))</f>
        <v>9.27975</v>
      </c>
      <c r="F31" s="19" t="n">
        <f aca="false">IF($A31="","",IFERROR($E31/(1-Perdas),$E31))</f>
        <v>9.56675257731959</v>
      </c>
      <c r="G31" s="41" t="n">
        <f aca="false">IF($A31="","",IFERROR(INDEX(Rateio_CustoFixoPorVendaLinha,MATCH(LojaSelecionada,Rateio_LojasHeader,0)),0))</f>
        <v>7.40827777777778</v>
      </c>
      <c r="H31" s="19" t="n">
        <f aca="false">IF($A31="","",$F31+$G31)</f>
        <v>16.9750303550974</v>
      </c>
      <c r="I31" s="19" t="n">
        <f aca="false">IF($A31="","",IFERROR($H31/(1-MargemLiquidaDesejada-Impostos-TaxaCartao-Comissao),"Ajustar parâmetros"))</f>
        <v>26.3178765195308</v>
      </c>
      <c r="J31" s="20" t="n">
        <f aca="false">IF(OR($A31="",$C31=""),"",IFERROR($F31/$C31,""))</f>
        <v>0.319958280177913</v>
      </c>
      <c r="K31" s="20" t="n">
        <f aca="false">IF(OR($A31="",$C31=""),"",IFERROR(($C31-$H31-$C31*(Impostos+TaxaCartao+Comissao))/$C31,""))</f>
        <v>0.227273232270991</v>
      </c>
      <c r="L31" s="19" t="n">
        <f aca="false">IF(OR($A31="",$C31=""),"",$C31-$H31-$C31*(Impostos+TaxaCartao+Comissao))</f>
        <v>6.79546964490264</v>
      </c>
      <c r="M31" s="19" t="n">
        <f aca="false">IF(OR($A31="",$C31="",NOT(ISNUMBER($I31))),"",$C31-$I31)</f>
        <v>3.5821234804692</v>
      </c>
      <c r="N31" s="42" t="str">
        <f aca="false">IF(OR($A31="",$K31=""),"",IF($K31&gt;=MargemLiquidaDesejada,"🟢 Margem Saudável",IF($K31&gt;=MargemLiquidaDesejada*0.8,"🟡 Atenção","🔴 Abaixo da Meta")))</f>
        <v>🟢 Margem Saudável</v>
      </c>
    </row>
    <row r="32" customFormat="false" ht="15" hidden="false" customHeight="true" outlineLevel="0" collapsed="false">
      <c r="A32" s="29" t="s">
        <v>202</v>
      </c>
      <c r="B32" s="29" t="s">
        <v>231</v>
      </c>
      <c r="C32" s="39" t="n">
        <v>16.9</v>
      </c>
      <c r="D32" s="40" t="n">
        <f aca="false">IF($A32="","",SUMIFS(FichaTecnica_QtdGML,FichaTecnica_Produto,$A32))</f>
        <v>260</v>
      </c>
      <c r="E32" s="19" t="n">
        <f aca="false">IF($A32="","",SUMIFS(FichaTecnica_CustoTotal,FichaTecnica_Produto,$A32))</f>
        <v>3.21713076923077</v>
      </c>
      <c r="F32" s="19" t="n">
        <f aca="false">IF($A32="","",IFERROR($E32/(1-Perdas),$E32))</f>
        <v>3.31662965900079</v>
      </c>
      <c r="G32" s="41" t="n">
        <f aca="false">IF($A32="","",IFERROR(INDEX(Rateio_CustoFixoPorVendaLinha,MATCH(LojaSelecionada,Rateio_LojasHeader,0)),0))</f>
        <v>7.40827777777778</v>
      </c>
      <c r="H32" s="19" t="n">
        <f aca="false">IF($A32="","",$F32+$G32)</f>
        <v>10.7249074367786</v>
      </c>
      <c r="I32" s="19" t="n">
        <f aca="false">IF($A32="","",IFERROR($H32/(1-MargemLiquidaDesejada-Impostos-TaxaCartao-Comissao),"Ajustar parâmetros"))</f>
        <v>16.6277634678738</v>
      </c>
      <c r="J32" s="20" t="n">
        <f aca="false">IF(OR($A32="",$C32=""),"",IFERROR($F32/$C32,""))</f>
        <v>0.19625027568052</v>
      </c>
      <c r="K32" s="20" t="n">
        <f aca="false">IF(OR($A32="",$C32=""),"",IFERROR(($C32-$H32-$C32*(Impostos+TaxaCartao+Comissao))/$C32,""))</f>
        <v>0.160390092498309</v>
      </c>
      <c r="L32" s="19" t="n">
        <f aca="false">IF(OR($A32="",$C32=""),"",$C32-$H32-$C32*(Impostos+TaxaCartao+Comissao))</f>
        <v>2.71059256322143</v>
      </c>
      <c r="M32" s="19" t="n">
        <f aca="false">IF(OR($A32="",$C32="",NOT(ISNUMBER($I32))),"",$C32-$I32)</f>
        <v>0.272236532126247</v>
      </c>
      <c r="N32" s="42" t="str">
        <f aca="false">IF(OR($A32="",$K32=""),"",IF($K32&gt;=MargemLiquidaDesejada,"🟢 Margem Saudável",IF($K32&gt;=MargemLiquidaDesejada*0.8,"🟡 Atenção","🔴 Abaixo da Meta")))</f>
        <v>🟢 Margem Saudável</v>
      </c>
    </row>
    <row r="33" customFormat="false" ht="15" hidden="false" customHeight="true" outlineLevel="0" collapsed="false">
      <c r="A33" s="29" t="s">
        <v>203</v>
      </c>
      <c r="B33" s="29" t="s">
        <v>231</v>
      </c>
      <c r="C33" s="39" t="n">
        <v>22.9</v>
      </c>
      <c r="D33" s="40" t="n">
        <f aca="false">IF($A33="","",SUMIFS(FichaTecnica_QtdGML,FichaTecnica_Produto,$A33))</f>
        <v>360</v>
      </c>
      <c r="E33" s="19" t="n">
        <f aca="false">IF($A33="","",SUMIFS(FichaTecnica_CustoTotal,FichaTecnica_Produto,$A33))</f>
        <v>4.85405076923077</v>
      </c>
      <c r="F33" s="19" t="n">
        <f aca="false">IF($A33="","",IFERROR($E33/(1-Perdas),$E33))</f>
        <v>5.00417605075337</v>
      </c>
      <c r="G33" s="41" t="n">
        <f aca="false">IF($A33="","",IFERROR(INDEX(Rateio_CustoFixoPorVendaLinha,MATCH(LojaSelecionada,Rateio_LojasHeader,0)),0))</f>
        <v>7.40827777777778</v>
      </c>
      <c r="H33" s="19" t="n">
        <f aca="false">IF($A33="","",$F33+$G33)</f>
        <v>12.4124538285311</v>
      </c>
      <c r="I33" s="19" t="n">
        <f aca="false">IF($A33="","",IFERROR($H33/(1-MargemLiquidaDesejada-Impostos-TaxaCartao-Comissao),"Ajustar parâmetros"))</f>
        <v>19.244114462839</v>
      </c>
      <c r="J33" s="20" t="n">
        <f aca="false">IF(OR($A33="",$C33=""),"",IFERROR($F33/$C33,""))</f>
        <v>0.218522971648619</v>
      </c>
      <c r="K33" s="20" t="n">
        <f aca="false">IF(OR($A33="",$C33=""),"",IFERROR(($C33-$H33-$C33*(Impostos+TaxaCartao+Comissao))/$C33,""))</f>
        <v>0.252971448535758</v>
      </c>
      <c r="L33" s="19" t="n">
        <f aca="false">IF(OR($A33="",$C33=""),"",$C33-$H33-$C33*(Impostos+TaxaCartao+Comissao))</f>
        <v>5.79304617146885</v>
      </c>
      <c r="M33" s="19" t="n">
        <f aca="false">IF(OR($A33="",$C33="",NOT(ISNUMBER($I33))),"",$C33-$I33)</f>
        <v>3.65588553716101</v>
      </c>
      <c r="N33" s="42" t="str">
        <f aca="false">IF(OR($A33="",$K33=""),"",IF($K33&gt;=MargemLiquidaDesejada,"🟢 Margem Saudável",IF($K33&gt;=MargemLiquidaDesejada*0.8,"🟡 Atenção","🔴 Abaixo da Meta")))</f>
        <v>🟢 Margem Saudável</v>
      </c>
    </row>
    <row r="34" customFormat="false" ht="15" hidden="false" customHeight="true" outlineLevel="0" collapsed="false">
      <c r="A34" s="29" t="s">
        <v>204</v>
      </c>
      <c r="B34" s="29" t="s">
        <v>231</v>
      </c>
      <c r="C34" s="39" t="n">
        <v>29.9</v>
      </c>
      <c r="D34" s="40" t="n">
        <f aca="false">IF($A34="","",SUMIFS(FichaTecnica_QtdGML,FichaTecnica_Produto,$A34))</f>
        <v>560</v>
      </c>
      <c r="E34" s="19" t="n">
        <f aca="false">IF($A34="","",SUMIFS(FichaTecnica_CustoTotal,FichaTecnica_Produto,$A34))</f>
        <v>8.25398076923077</v>
      </c>
      <c r="F34" s="19" t="n">
        <f aca="false">IF($A34="","",IFERROR($E34/(1-Perdas),$E34))</f>
        <v>8.50925852498018</v>
      </c>
      <c r="G34" s="41" t="n">
        <f aca="false">IF($A34="","",IFERROR(INDEX(Rateio_CustoFixoPorVendaLinha,MATCH(LojaSelecionada,Rateio_LojasHeader,0)),0))</f>
        <v>7.40827777777778</v>
      </c>
      <c r="H34" s="19" t="n">
        <f aca="false">IF($A34="","",$F34+$G34)</f>
        <v>15.917536302758</v>
      </c>
      <c r="I34" s="19" t="n">
        <f aca="false">IF($A34="","",IFERROR($H34/(1-MargemLiquidaDesejada-Impostos-TaxaCartao-Comissao),"Ajustar parâmetros"))</f>
        <v>24.6783508569891</v>
      </c>
      <c r="J34" s="20" t="n">
        <f aca="false">IF(OR($A34="",$C34=""),"",IFERROR($F34/$C34,""))</f>
        <v>0.284590586119738</v>
      </c>
      <c r="K34" s="20" t="n">
        <f aca="false">IF(OR($A34="",$C34=""),"",IFERROR(($C34-$H34-$C34*(Impostos+TaxaCartao+Comissao))/$C34,""))</f>
        <v>0.262640926329165</v>
      </c>
      <c r="L34" s="19" t="n">
        <f aca="false">IF(OR($A34="",$C34=""),"",$C34-$H34-$C34*(Impostos+TaxaCartao+Comissao))</f>
        <v>7.85296369724205</v>
      </c>
      <c r="M34" s="19" t="n">
        <f aca="false">IF(OR($A34="",$C34="",NOT(ISNUMBER($I34))),"",$C34-$I34)</f>
        <v>5.22164914301093</v>
      </c>
      <c r="N34" s="42" t="str">
        <f aca="false">IF(OR($A34="",$K34=""),"",IF($K34&gt;=MargemLiquidaDesejada,"🟢 Margem Saudável",IF($K34&gt;=MargemLiquidaDesejada*0.8,"🟡 Atenção","🔴 Abaixo da Meta")))</f>
        <v>🟢 Margem Saudável</v>
      </c>
    </row>
    <row r="35" customFormat="false" ht="15" hidden="false" customHeight="true" outlineLevel="0" collapsed="false">
      <c r="A35" s="29" t="s">
        <v>131</v>
      </c>
      <c r="B35" s="29" t="s">
        <v>232</v>
      </c>
      <c r="C35" s="39" t="n">
        <v>23</v>
      </c>
      <c r="D35" s="40" t="n">
        <v>250</v>
      </c>
      <c r="E35" s="19" t="n">
        <f aca="false">IF($A35="","",SUMIFS(FichaTecnica_CustoTotal,FichaTecnica_Produto,$A35))</f>
        <v>12.0938</v>
      </c>
      <c r="F35" s="19" t="n">
        <f aca="false">IF($A35="","",IFERROR($E35/(1-Perdas),$E35))</f>
        <v>12.4678350515464</v>
      </c>
      <c r="G35" s="41" t="n">
        <f aca="false">IF($A35="","",IFERROR(INDEX(Rateio_CustoFixoPorVendaLinha,MATCH(LojaSelecionada,Rateio_LojasHeader,0)),0))</f>
        <v>7.40827777777778</v>
      </c>
      <c r="H35" s="19" t="n">
        <f aca="false">IF($A35="","",$F35+$G35)</f>
        <v>19.8761128293242</v>
      </c>
      <c r="I35" s="19" t="n">
        <f aca="false">IF($A35="","",IFERROR($H35/(1-MargemLiquidaDesejada-Impostos-TaxaCartao-Comissao),"Ajustar parâmetros"))</f>
        <v>30.8156788051538</v>
      </c>
      <c r="J35" s="20" t="n">
        <f aca="false">IF(OR($A35="",$C35=""),"",IFERROR($F35/$C35,""))</f>
        <v>0.542079784849843</v>
      </c>
      <c r="K35" s="20" t="n">
        <f aca="false">IF(OR($A35="",$C35=""),"",IFERROR(($C35-$H35-$C35*(Impostos+TaxaCartao+Comissao))/$C35,""))</f>
        <v>-0.0691788186662682</v>
      </c>
      <c r="L35" s="19" t="n">
        <f aca="false">IF(OR($A35="",$C35=""),"",$C35-$H35-$C35*(Impostos+TaxaCartao+Comissao))</f>
        <v>-1.59111282932417</v>
      </c>
      <c r="M35" s="19" t="n">
        <f aca="false">IF(OR($A35="",$C35="",NOT(ISNUMBER($I35))),"",$C35-$I35)</f>
        <v>-7.81567880515375</v>
      </c>
      <c r="N35" s="42" t="str">
        <f aca="false">IF(OR($A35="",$K35=""),"",IF($K35&gt;=MargemLiquidaDesejada,"🟢 Margem Saudável",IF($K35&gt;=MargemLiquidaDesejada*0.8,"🟡 Atenção","🔴 Abaixo da Meta")))</f>
        <v>🔴 Abaixo da Meta</v>
      </c>
    </row>
    <row r="36" customFormat="false" ht="15" hidden="false" customHeight="true" outlineLevel="0" collapsed="false">
      <c r="A36" s="29" t="s">
        <v>134</v>
      </c>
      <c r="B36" s="29" t="s">
        <v>232</v>
      </c>
      <c r="C36" s="39" t="n">
        <v>38</v>
      </c>
      <c r="D36" s="40" t="n">
        <v>500</v>
      </c>
      <c r="E36" s="19" t="n">
        <f aca="false">IF($A36="","",SUMIFS(FichaTecnica_CustoTotal,FichaTecnica_Produto,$A36))</f>
        <v>16.0938</v>
      </c>
      <c r="F36" s="19" t="n">
        <f aca="false">IF($A36="","",IFERROR($E36/(1-Perdas),$E36))</f>
        <v>16.5915463917526</v>
      </c>
      <c r="G36" s="41" t="n">
        <f aca="false">IF($A36="","",IFERROR(INDEX(Rateio_CustoFixoPorVendaLinha,MATCH(LojaSelecionada,Rateio_LojasHeader,0)),0))</f>
        <v>7.40827777777778</v>
      </c>
      <c r="H36" s="19" t="n">
        <f aca="false">IF($A36="","",$F36+$G36)</f>
        <v>23.9998241695304</v>
      </c>
      <c r="I36" s="19" t="n">
        <f aca="false">IF($A36="","",IFERROR($H36/(1-MargemLiquidaDesejada-Impostos-TaxaCartao-Comissao),"Ajustar parâmetros"))</f>
        <v>37.2090297202021</v>
      </c>
      <c r="J36" s="20" t="n">
        <f aca="false">IF(OR($A36="",$C36=""),"",IFERROR($F36/$C36,""))</f>
        <v>0.436619641888226</v>
      </c>
      <c r="K36" s="20" t="n">
        <f aca="false">IF(OR($A36="",$C36=""),"",IFERROR(($C36-$H36-$C36*(Impostos+TaxaCartao+Comissao))/$C36,""))</f>
        <v>0.163425679749201</v>
      </c>
      <c r="L36" s="19" t="n">
        <f aca="false">IF(OR($A36="",$C36=""),"",$C36-$H36-$C36*(Impostos+TaxaCartao+Comissao))</f>
        <v>6.21017583046965</v>
      </c>
      <c r="M36" s="19" t="n">
        <f aca="false">IF(OR($A36="",$C36="",NOT(ISNUMBER($I36))),"",$C36-$I36)</f>
        <v>0.790970279797897</v>
      </c>
      <c r="N36" s="42" t="str">
        <f aca="false">IF(OR($A36="",$K36=""),"",IF($K36&gt;=MargemLiquidaDesejada,"🟢 Margem Saudável",IF($K36&gt;=MargemLiquidaDesejada*0.8,"🟡 Atenção","🔴 Abaixo da Meta")))</f>
        <v>🟢 Margem Saudável</v>
      </c>
    </row>
    <row r="37" customFormat="false" ht="15" hidden="false" customHeight="true" outlineLevel="0" collapsed="false">
      <c r="A37" s="29" t="s">
        <v>135</v>
      </c>
      <c r="B37" s="29" t="s">
        <v>232</v>
      </c>
      <c r="C37" s="39" t="n">
        <v>18</v>
      </c>
      <c r="D37" s="40" t="n">
        <v>250</v>
      </c>
      <c r="E37" s="19" t="n">
        <f aca="false">IF($A37="","",SUMIFS(FichaTecnica_CustoTotal,FichaTecnica_Produto,$A37))</f>
        <v>10.0938</v>
      </c>
      <c r="F37" s="19" t="n">
        <f aca="false">IF($A37="","",IFERROR($E37/(1-Perdas),$E37))</f>
        <v>10.4059793814433</v>
      </c>
      <c r="G37" s="41" t="n">
        <f aca="false">IF($A37="","",IFERROR(INDEX(Rateio_CustoFixoPorVendaLinha,MATCH(LojaSelecionada,Rateio_LojasHeader,0)),0))</f>
        <v>7.40827777777778</v>
      </c>
      <c r="H37" s="19" t="n">
        <f aca="false">IF($A37="","",$F37+$G37)</f>
        <v>17.8142571592211</v>
      </c>
      <c r="I37" s="19" t="n">
        <f aca="false">IF($A37="","",IFERROR($H37/(1-MargemLiquidaDesejada-Impostos-TaxaCartao-Comissao),"Ajustar parâmetros"))</f>
        <v>27.6190033476296</v>
      </c>
      <c r="J37" s="20" t="n">
        <f aca="false">IF(OR($A37="",$C37=""),"",IFERROR($F37/$C37,""))</f>
        <v>0.578109965635739</v>
      </c>
      <c r="K37" s="20" t="n">
        <f aca="false">IF(OR($A37="",$C37=""),"",IFERROR(($C37-$H37-$C37*(Impostos+TaxaCartao+Comissao))/$C37,""))</f>
        <v>-0.19468095329006</v>
      </c>
      <c r="L37" s="19" t="n">
        <f aca="false">IF(OR($A37="",$C37=""),"",$C37-$H37-$C37*(Impostos+TaxaCartao+Comissao))</f>
        <v>-3.50425715922108</v>
      </c>
      <c r="M37" s="19" t="n">
        <f aca="false">IF(OR($A37="",$C37="",NOT(ISNUMBER($I37))),"",$C37-$I37)</f>
        <v>-9.61900334762957</v>
      </c>
      <c r="N37" s="42" t="str">
        <f aca="false">IF(OR($A37="",$K37=""),"",IF($K37&gt;=MargemLiquidaDesejada,"🟢 Margem Saudável",IF($K37&gt;=MargemLiquidaDesejada*0.8,"🟡 Atenção","🔴 Abaixo da Meta")))</f>
        <v>🔴 Abaixo da Meta</v>
      </c>
    </row>
    <row r="38" customFormat="false" ht="15" hidden="false" customHeight="true" outlineLevel="0" collapsed="false">
      <c r="A38" s="29" t="s">
        <v>136</v>
      </c>
      <c r="B38" s="29" t="s">
        <v>232</v>
      </c>
      <c r="C38" s="39" t="n">
        <v>27.5</v>
      </c>
      <c r="D38" s="40" t="n">
        <v>500</v>
      </c>
      <c r="E38" s="19" t="n">
        <f aca="false">IF($A38="","",SUMIFS(FichaTecnica_CustoTotal,FichaTecnica_Produto,$A38))</f>
        <v>15.0938</v>
      </c>
      <c r="F38" s="19" t="n">
        <f aca="false">IF($A38="","",IFERROR($E38/(1-Perdas),$E38))</f>
        <v>15.560618556701</v>
      </c>
      <c r="G38" s="41" t="n">
        <f aca="false">IF($A38="","",IFERROR(INDEX(Rateio_CustoFixoPorVendaLinha,MATCH(LojaSelecionada,Rateio_LojasHeader,0)),0))</f>
        <v>7.40827777777778</v>
      </c>
      <c r="H38" s="19" t="n">
        <f aca="false">IF($A38="","",$F38+$G38)</f>
        <v>22.9688963344788</v>
      </c>
      <c r="I38" s="19" t="n">
        <f aca="false">IF($A38="","",IFERROR($H38/(1-MargemLiquidaDesejada-Impostos-TaxaCartao-Comissao),"Ajustar parâmetros"))</f>
        <v>35.61069199144</v>
      </c>
      <c r="J38" s="20" t="n">
        <f aca="false">IF(OR($A38="",$C38=""),"",IFERROR($F38/$C38,""))</f>
        <v>0.565840674789129</v>
      </c>
      <c r="K38" s="20" t="n">
        <f aca="false">IF(OR($A38="",$C38=""),"",IFERROR(($C38-$H38-$C38*(Impostos+TaxaCartao+Comissao))/$C38,""))</f>
        <v>-0.0402325939810476</v>
      </c>
      <c r="L38" s="19" t="n">
        <f aca="false">IF(OR($A38="",$C38=""),"",$C38-$H38-$C38*(Impostos+TaxaCartao+Comissao))</f>
        <v>-1.10639633447881</v>
      </c>
      <c r="M38" s="19" t="n">
        <f aca="false">IF(OR($A38="",$C38="",NOT(ISNUMBER($I38))),"",$C38-$I38)</f>
        <v>-8.11069199144001</v>
      </c>
      <c r="N38" s="42" t="str">
        <f aca="false">IF(OR($A38="",$K38=""),"",IF($K38&gt;=MargemLiquidaDesejada,"🟢 Margem Saudável",IF($K38&gt;=MargemLiquidaDesejada*0.8,"🟡 Atenção","🔴 Abaixo da Meta")))</f>
        <v>🔴 Abaixo da Meta</v>
      </c>
    </row>
    <row r="39" customFormat="false" ht="15" hidden="false" customHeight="true" outlineLevel="0" collapsed="false">
      <c r="A39" s="29" t="s">
        <v>137</v>
      </c>
      <c r="B39" s="29" t="s">
        <v>232</v>
      </c>
      <c r="C39" s="39" t="n">
        <v>18</v>
      </c>
      <c r="D39" s="40" t="n">
        <v>250</v>
      </c>
      <c r="E39" s="19" t="n">
        <f aca="false">IF($A39="","",SUMIFS(FichaTecnica_CustoTotal,FichaTecnica_Produto,$A39))</f>
        <v>10.0938</v>
      </c>
      <c r="F39" s="19" t="n">
        <f aca="false">IF($A39="","",IFERROR($E39/(1-Perdas),$E39))</f>
        <v>10.4059793814433</v>
      </c>
      <c r="G39" s="41" t="n">
        <f aca="false">IF($A39="","",IFERROR(INDEX(Rateio_CustoFixoPorVendaLinha,MATCH(LojaSelecionada,Rateio_LojasHeader,0)),0))</f>
        <v>7.40827777777778</v>
      </c>
      <c r="H39" s="19" t="n">
        <f aca="false">IF($A39="","",$F39+$G39)</f>
        <v>17.8142571592211</v>
      </c>
      <c r="I39" s="19" t="n">
        <f aca="false">IF($A39="","",IFERROR($H39/(1-MargemLiquidaDesejada-Impostos-TaxaCartao-Comissao),"Ajustar parâmetros"))</f>
        <v>27.6190033476296</v>
      </c>
      <c r="J39" s="20" t="n">
        <f aca="false">IF(OR($A39="",$C39=""),"",IFERROR($F39/$C39,""))</f>
        <v>0.578109965635739</v>
      </c>
      <c r="K39" s="20" t="n">
        <f aca="false">IF(OR($A39="",$C39=""),"",IFERROR(($C39-$H39-$C39*(Impostos+TaxaCartao+Comissao))/$C39,""))</f>
        <v>-0.19468095329006</v>
      </c>
      <c r="L39" s="19" t="n">
        <f aca="false">IF(OR($A39="",$C39=""),"",$C39-$H39-$C39*(Impostos+TaxaCartao+Comissao))</f>
        <v>-3.50425715922108</v>
      </c>
      <c r="M39" s="19" t="n">
        <f aca="false">IF(OR($A39="",$C39="",NOT(ISNUMBER($I39))),"",$C39-$I39)</f>
        <v>-9.61900334762957</v>
      </c>
      <c r="N39" s="42" t="str">
        <f aca="false">IF(OR($A39="",$K39=""),"",IF($K39&gt;=MargemLiquidaDesejada,"🟢 Margem Saudável",IF($K39&gt;=MargemLiquidaDesejada*0.8,"🟡 Atenção","🔴 Abaixo da Meta")))</f>
        <v>🔴 Abaixo da Meta</v>
      </c>
    </row>
    <row r="40" customFormat="false" ht="15" hidden="false" customHeight="true" outlineLevel="0" collapsed="false">
      <c r="A40" s="29" t="s">
        <v>138</v>
      </c>
      <c r="B40" s="29" t="s">
        <v>232</v>
      </c>
      <c r="C40" s="39" t="n">
        <v>27.5</v>
      </c>
      <c r="D40" s="40" t="n">
        <v>500</v>
      </c>
      <c r="E40" s="19" t="n">
        <f aca="false">IF($A40="","",SUMIFS(FichaTecnica_CustoTotal,FichaTecnica_Produto,$A40))</f>
        <v>15.0938</v>
      </c>
      <c r="F40" s="19" t="n">
        <f aca="false">IF($A40="","",IFERROR($E40/(1-Perdas),$E40))</f>
        <v>15.560618556701</v>
      </c>
      <c r="G40" s="41" t="n">
        <f aca="false">IF($A40="","",IFERROR(INDEX(Rateio_CustoFixoPorVendaLinha,MATCH(LojaSelecionada,Rateio_LojasHeader,0)),0))</f>
        <v>7.40827777777778</v>
      </c>
      <c r="H40" s="19" t="n">
        <f aca="false">IF($A40="","",$F40+$G40)</f>
        <v>22.9688963344788</v>
      </c>
      <c r="I40" s="19" t="n">
        <f aca="false">IF($A40="","",IFERROR($H40/(1-MargemLiquidaDesejada-Impostos-TaxaCartao-Comissao),"Ajustar parâmetros"))</f>
        <v>35.61069199144</v>
      </c>
      <c r="J40" s="20" t="n">
        <f aca="false">IF(OR($A40="",$C40=""),"",IFERROR($F40/$C40,""))</f>
        <v>0.565840674789129</v>
      </c>
      <c r="K40" s="20" t="n">
        <f aca="false">IF(OR($A40="",$C40=""),"",IFERROR(($C40-$H40-$C40*(Impostos+TaxaCartao+Comissao))/$C40,""))</f>
        <v>-0.0402325939810476</v>
      </c>
      <c r="L40" s="19" t="n">
        <f aca="false">IF(OR($A40="",$C40=""),"",$C40-$H40-$C40*(Impostos+TaxaCartao+Comissao))</f>
        <v>-1.10639633447881</v>
      </c>
      <c r="M40" s="19" t="n">
        <f aca="false">IF(OR($A40="",$C40="",NOT(ISNUMBER($I40))),"",$C40-$I40)</f>
        <v>-8.11069199144001</v>
      </c>
      <c r="N40" s="42" t="str">
        <f aca="false">IF(OR($A40="",$K40=""),"",IF($K40&gt;=MargemLiquidaDesejada,"🟢 Margem Saudável",IF($K40&gt;=MargemLiquidaDesejada*0.8,"🟡 Atenção","🔴 Abaixo da Meta")))</f>
        <v>🔴 Abaixo da Meta</v>
      </c>
    </row>
    <row r="41" customFormat="false" ht="15" hidden="false" customHeight="true" outlineLevel="0" collapsed="false">
      <c r="A41" s="29" t="s">
        <v>139</v>
      </c>
      <c r="B41" s="29" t="s">
        <v>232</v>
      </c>
      <c r="C41" s="39" t="n">
        <v>18</v>
      </c>
      <c r="D41" s="40" t="n">
        <v>250</v>
      </c>
      <c r="E41" s="19" t="n">
        <f aca="false">IF($A41="","",SUMIFS(FichaTecnica_CustoTotal,FichaTecnica_Produto,$A41))</f>
        <v>10.0938</v>
      </c>
      <c r="F41" s="19" t="n">
        <f aca="false">IF($A41="","",IFERROR($E41/(1-Perdas),$E41))</f>
        <v>10.4059793814433</v>
      </c>
      <c r="G41" s="41" t="n">
        <f aca="false">IF($A41="","",IFERROR(INDEX(Rateio_CustoFixoPorVendaLinha,MATCH(LojaSelecionada,Rateio_LojasHeader,0)),0))</f>
        <v>7.40827777777778</v>
      </c>
      <c r="H41" s="19" t="n">
        <f aca="false">IF($A41="","",$F41+$G41)</f>
        <v>17.8142571592211</v>
      </c>
      <c r="I41" s="19" t="n">
        <f aca="false">IF($A41="","",IFERROR($H41/(1-MargemLiquidaDesejada-Impostos-TaxaCartao-Comissao),"Ajustar parâmetros"))</f>
        <v>27.6190033476296</v>
      </c>
      <c r="J41" s="20" t="n">
        <f aca="false">IF(OR($A41="",$C41=""),"",IFERROR($F41/$C41,""))</f>
        <v>0.578109965635739</v>
      </c>
      <c r="K41" s="20" t="n">
        <f aca="false">IF(OR($A41="",$C41=""),"",IFERROR(($C41-$H41-$C41*(Impostos+TaxaCartao+Comissao))/$C41,""))</f>
        <v>-0.19468095329006</v>
      </c>
      <c r="L41" s="19" t="n">
        <f aca="false">IF(OR($A41="",$C41=""),"",$C41-$H41-$C41*(Impostos+TaxaCartao+Comissao))</f>
        <v>-3.50425715922108</v>
      </c>
      <c r="M41" s="19" t="n">
        <f aca="false">IF(OR($A41="",$C41="",NOT(ISNUMBER($I41))),"",$C41-$I41)</f>
        <v>-9.61900334762957</v>
      </c>
      <c r="N41" s="42" t="str">
        <f aca="false">IF(OR($A41="",$K41=""),"",IF($K41&gt;=MargemLiquidaDesejada,"🟢 Margem Saudável",IF($K41&gt;=MargemLiquidaDesejada*0.8,"🟡 Atenção","🔴 Abaixo da Meta")))</f>
        <v>🔴 Abaixo da Meta</v>
      </c>
    </row>
    <row r="42" customFormat="false" ht="15" hidden="false" customHeight="true" outlineLevel="0" collapsed="false">
      <c r="A42" s="29" t="s">
        <v>140</v>
      </c>
      <c r="B42" s="29" t="s">
        <v>232</v>
      </c>
      <c r="C42" s="39" t="n">
        <v>27.5</v>
      </c>
      <c r="D42" s="40" t="n">
        <v>500</v>
      </c>
      <c r="E42" s="19" t="n">
        <f aca="false">IF($A42="","",SUMIFS(FichaTecnica_CustoTotal,FichaTecnica_Produto,$A42))</f>
        <v>15.0938</v>
      </c>
      <c r="F42" s="19" t="n">
        <f aca="false">IF($A42="","",IFERROR($E42/(1-Perdas),$E42))</f>
        <v>15.560618556701</v>
      </c>
      <c r="G42" s="41" t="n">
        <f aca="false">IF($A42="","",IFERROR(INDEX(Rateio_CustoFixoPorVendaLinha,MATCH(LojaSelecionada,Rateio_LojasHeader,0)),0))</f>
        <v>7.40827777777778</v>
      </c>
      <c r="H42" s="19" t="n">
        <f aca="false">IF($A42="","",$F42+$G42)</f>
        <v>22.9688963344788</v>
      </c>
      <c r="I42" s="19" t="n">
        <f aca="false">IF($A42="","",IFERROR($H42/(1-MargemLiquidaDesejada-Impostos-TaxaCartao-Comissao),"Ajustar parâmetros"))</f>
        <v>35.61069199144</v>
      </c>
      <c r="J42" s="20" t="n">
        <f aca="false">IF(OR($A42="",$C42=""),"",IFERROR($F42/$C42,""))</f>
        <v>0.565840674789129</v>
      </c>
      <c r="K42" s="20" t="n">
        <f aca="false">IF(OR($A42="",$C42=""),"",IFERROR(($C42-$H42-$C42*(Impostos+TaxaCartao+Comissao))/$C42,""))</f>
        <v>-0.0402325939810476</v>
      </c>
      <c r="L42" s="19" t="n">
        <f aca="false">IF(OR($A42="",$C42=""),"",$C42-$H42-$C42*(Impostos+TaxaCartao+Comissao))</f>
        <v>-1.10639633447881</v>
      </c>
      <c r="M42" s="19" t="n">
        <f aca="false">IF(OR($A42="",$C42="",NOT(ISNUMBER($I42))),"",$C42-$I42)</f>
        <v>-8.11069199144001</v>
      </c>
      <c r="N42" s="42" t="str">
        <f aca="false">IF(OR($A42="",$K42=""),"",IF($K42&gt;=MargemLiquidaDesejada,"🟢 Margem Saudável",IF($K42&gt;=MargemLiquidaDesejada*0.8,"🟡 Atenção","🔴 Abaixo da Meta")))</f>
        <v>🔴 Abaixo da Meta</v>
      </c>
    </row>
    <row r="43" customFormat="false" ht="15" hidden="false" customHeight="true" outlineLevel="0" collapsed="false">
      <c r="A43" s="29" t="s">
        <v>205</v>
      </c>
      <c r="B43" s="29" t="s">
        <v>233</v>
      </c>
      <c r="C43" s="39" t="n">
        <v>16.9</v>
      </c>
      <c r="D43" s="40" t="n">
        <f aca="false">IF($A43="","",SUMIFS(FichaTecnica_QtdGML,FichaTecnica_Produto,$A43))</f>
        <v>170</v>
      </c>
      <c r="E43" s="19" t="n">
        <f aca="false">IF($A43="","",SUMIFS(FichaTecnica_CustoTotal,FichaTecnica_Produto,$A43))</f>
        <v>3.1479</v>
      </c>
      <c r="F43" s="19" t="n">
        <f aca="false">IF($A43="","",IFERROR($E43/(1-Perdas),$E43))</f>
        <v>3.24525773195876</v>
      </c>
      <c r="G43" s="41" t="n">
        <f aca="false">IF($A43="","",IFERROR(INDEX(Rateio_CustoFixoPorVendaLinha,MATCH(LojaSelecionada,Rateio_LojasHeader,0)),0))</f>
        <v>7.40827777777778</v>
      </c>
      <c r="H43" s="19" t="n">
        <f aca="false">IF($A43="","",$F43+$G43)</f>
        <v>10.6535355097365</v>
      </c>
      <c r="I43" s="19" t="n">
        <f aca="false">IF($A43="","",IFERROR($H43/(1-MargemLiquidaDesejada-Impostos-TaxaCartao-Comissao),"Ajustar parâmetros"))</f>
        <v>16.517109317421</v>
      </c>
      <c r="J43" s="20" t="n">
        <f aca="false">IF(OR($A43="",$C43=""),"",IFERROR($F43/$C43,""))</f>
        <v>0.192027084731288</v>
      </c>
      <c r="K43" s="20" t="n">
        <f aca="false">IF(OR($A43="",$C43=""),"",IFERROR(($C43-$H43-$C43*(Impostos+TaxaCartao+Comissao))/$C43,""))</f>
        <v>0.164613283447542</v>
      </c>
      <c r="L43" s="19" t="n">
        <f aca="false">IF(OR($A43="",$C43=""),"",$C43-$H43-$C43*(Impostos+TaxaCartao+Comissao))</f>
        <v>2.78196449026346</v>
      </c>
      <c r="M43" s="19" t="n">
        <f aca="false">IF(OR($A43="",$C43="",NOT(ISNUMBER($I43))),"",$C43-$I43)</f>
        <v>0.382890682579006</v>
      </c>
      <c r="N43" s="42" t="str">
        <f aca="false">IF(OR($A43="",$K43=""),"",IF($K43&gt;=MargemLiquidaDesejada,"🟢 Margem Saudável",IF($K43&gt;=MargemLiquidaDesejada*0.8,"🟡 Atenção","🔴 Abaixo da Meta")))</f>
        <v>🟢 Margem Saudável</v>
      </c>
    </row>
    <row r="44" customFormat="false" ht="15" hidden="false" customHeight="true" outlineLevel="0" collapsed="false">
      <c r="A44" s="29" t="s">
        <v>207</v>
      </c>
      <c r="B44" s="29" t="s">
        <v>233</v>
      </c>
      <c r="C44" s="39" t="n">
        <v>22.9</v>
      </c>
      <c r="D44" s="40" t="n">
        <f aca="false">IF($A44="","",SUMIFS(FichaTecnica_QtdGML,FichaTecnica_Produto,$A44))</f>
        <v>270</v>
      </c>
      <c r="E44" s="19" t="n">
        <f aca="false">IF($A44="","",SUMIFS(FichaTecnica_CustoTotal,FichaTecnica_Produto,$A44))</f>
        <v>4.78482</v>
      </c>
      <c r="F44" s="19" t="n">
        <f aca="false">IF($A44="","",IFERROR($E44/(1-Perdas),$E44))</f>
        <v>4.93280412371134</v>
      </c>
      <c r="G44" s="41" t="n">
        <f aca="false">IF($A44="","",IFERROR(INDEX(Rateio_CustoFixoPorVendaLinha,MATCH(LojaSelecionada,Rateio_LojasHeader,0)),0))</f>
        <v>7.40827777777778</v>
      </c>
      <c r="H44" s="19" t="n">
        <f aca="false">IF($A44="","",$F44+$G44)</f>
        <v>12.3410819014891</v>
      </c>
      <c r="I44" s="19" t="n">
        <f aca="false">IF($A44="","",IFERROR($H44/(1-MargemLiquidaDesejada-Impostos-TaxaCartao-Comissao),"Ajustar parâmetros"))</f>
        <v>19.1334603123862</v>
      </c>
      <c r="J44" s="20" t="n">
        <f aca="false">IF(OR($A44="",$C44=""),"",IFERROR($F44/$C44,""))</f>
        <v>0.215406293611849</v>
      </c>
      <c r="K44" s="20" t="n">
        <f aca="false">IF(OR($A44="",$C44=""),"",IFERROR(($C44-$H44-$C44*(Impostos+TaxaCartao+Comissao))/$C44,""))</f>
        <v>0.256088126572528</v>
      </c>
      <c r="L44" s="19" t="n">
        <f aca="false">IF(OR($A44="",$C44=""),"",$C44-$H44-$C44*(Impostos+TaxaCartao+Comissao))</f>
        <v>5.86441809851088</v>
      </c>
      <c r="M44" s="19" t="n">
        <f aca="false">IF(OR($A44="",$C44="",NOT(ISNUMBER($I44))),"",$C44-$I44)</f>
        <v>3.76653968761377</v>
      </c>
      <c r="N44" s="42" t="str">
        <f aca="false">IF(OR($A44="",$K44=""),"",IF($K44&gt;=MargemLiquidaDesejada,"🟢 Margem Saudável",IF($K44&gt;=MargemLiquidaDesejada*0.8,"🟡 Atenção","🔴 Abaixo da Meta")))</f>
        <v>🟢 Margem Saudável</v>
      </c>
    </row>
    <row r="45" customFormat="false" ht="15" hidden="false" customHeight="true" outlineLevel="0" collapsed="false">
      <c r="A45" s="29" t="s">
        <v>209</v>
      </c>
      <c r="B45" s="29" t="s">
        <v>233</v>
      </c>
      <c r="C45" s="39" t="n">
        <v>29.9</v>
      </c>
      <c r="D45" s="40" t="n">
        <f aca="false">IF($A45="","",SUMIFS(FichaTecnica_QtdGML,FichaTecnica_Produto,$A45))</f>
        <v>470</v>
      </c>
      <c r="E45" s="19" t="n">
        <f aca="false">IF($A45="","",SUMIFS(FichaTecnica_CustoTotal,FichaTecnica_Produto,$A45))</f>
        <v>8.18475</v>
      </c>
      <c r="F45" s="19" t="n">
        <f aca="false">IF($A45="","",IFERROR($E45/(1-Perdas),$E45))</f>
        <v>8.43788659793815</v>
      </c>
      <c r="G45" s="41" t="n">
        <f aca="false">IF($A45="","",IFERROR(INDEX(Rateio_CustoFixoPorVendaLinha,MATCH(LojaSelecionada,Rateio_LojasHeader,0)),0))</f>
        <v>7.40827777777778</v>
      </c>
      <c r="H45" s="19" t="n">
        <f aca="false">IF($A45="","",$F45+$G45)</f>
        <v>15.8461643757159</v>
      </c>
      <c r="I45" s="19" t="n">
        <f aca="false">IF($A45="","",IFERROR($H45/(1-MargemLiquidaDesejada-Impostos-TaxaCartao-Comissao),"Ajustar parâmetros"))</f>
        <v>24.5676967065363</v>
      </c>
      <c r="J45" s="20" t="n">
        <f aca="false">IF(OR($A45="",$C45=""),"",IFERROR($F45/$C45,""))</f>
        <v>0.282203565148433</v>
      </c>
      <c r="K45" s="20" t="n">
        <f aca="false">IF(OR($A45="",$C45=""),"",IFERROR(($C45-$H45-$C45*(Impostos+TaxaCartao+Comissao))/$C45,""))</f>
        <v>0.265027947300471</v>
      </c>
      <c r="L45" s="19" t="n">
        <f aca="false">IF(OR($A45="",$C45=""),"",$C45-$H45-$C45*(Impostos+TaxaCartao+Comissao))</f>
        <v>7.92433562428408</v>
      </c>
      <c r="M45" s="19" t="n">
        <f aca="false">IF(OR($A45="",$C45="",NOT(ISNUMBER($I45))),"",$C45-$I45)</f>
        <v>5.33230329346369</v>
      </c>
      <c r="N45" s="42" t="str">
        <f aca="false">IF(OR($A45="",$K45=""),"",IF($K45&gt;=MargemLiquidaDesejada,"🟢 Margem Saudável",IF($K45&gt;=MargemLiquidaDesejada*0.8,"🟡 Atenção","🔴 Abaixo da Meta")))</f>
        <v>🟢 Margem Saudável</v>
      </c>
    </row>
    <row r="46" customFormat="false" ht="15" hidden="false" customHeight="true" outlineLevel="0" collapsed="false">
      <c r="A46" s="29" t="s">
        <v>206</v>
      </c>
      <c r="B46" s="29" t="s">
        <v>233</v>
      </c>
      <c r="C46" s="39" t="n">
        <v>16.9</v>
      </c>
      <c r="D46" s="40" t="n">
        <f aca="false">IF($A46="","",SUMIFS(FichaTecnica_QtdGML,FichaTecnica_Produto,$A46))</f>
        <v>170</v>
      </c>
      <c r="E46" s="19" t="n">
        <f aca="false">IF($A46="","",SUMIFS(FichaTecnica_CustoTotal,FichaTecnica_Produto,$A46))</f>
        <v>3.1479</v>
      </c>
      <c r="F46" s="19" t="n">
        <f aca="false">IF($A46="","",IFERROR($E46/(1-Perdas),$E46))</f>
        <v>3.24525773195876</v>
      </c>
      <c r="G46" s="41" t="n">
        <f aca="false">IF($A46="","",IFERROR(INDEX(Rateio_CustoFixoPorVendaLinha,MATCH(LojaSelecionada,Rateio_LojasHeader,0)),0))</f>
        <v>7.40827777777778</v>
      </c>
      <c r="H46" s="19" t="n">
        <f aca="false">IF($A46="","",$F46+$G46)</f>
        <v>10.6535355097365</v>
      </c>
      <c r="I46" s="19" t="n">
        <f aca="false">IF($A46="","",IFERROR($H46/(1-MargemLiquidaDesejada-Impostos-TaxaCartao-Comissao),"Ajustar parâmetros"))</f>
        <v>16.517109317421</v>
      </c>
      <c r="J46" s="20" t="n">
        <f aca="false">IF(OR($A46="",$C46=""),"",IFERROR($F46/$C46,""))</f>
        <v>0.192027084731288</v>
      </c>
      <c r="K46" s="20" t="n">
        <f aca="false">IF(OR($A46="",$C46=""),"",IFERROR(($C46-$H46-$C46*(Impostos+TaxaCartao+Comissao))/$C46,""))</f>
        <v>0.164613283447542</v>
      </c>
      <c r="L46" s="19" t="n">
        <f aca="false">IF(OR($A46="",$C46=""),"",$C46-$H46-$C46*(Impostos+TaxaCartao+Comissao))</f>
        <v>2.78196449026346</v>
      </c>
      <c r="M46" s="19" t="n">
        <f aca="false">IF(OR($A46="",$C46="",NOT(ISNUMBER($I46))),"",$C46-$I46)</f>
        <v>0.382890682579006</v>
      </c>
      <c r="N46" s="42" t="str">
        <f aca="false">IF(OR($A46="",$K46=""),"",IF($K46&gt;=MargemLiquidaDesejada,"🟢 Margem Saudável",IF($K46&gt;=MargemLiquidaDesejada*0.8,"🟡 Atenção","🔴 Abaixo da Meta")))</f>
        <v>🟢 Margem Saudável</v>
      </c>
    </row>
    <row r="47" customFormat="false" ht="15" hidden="false" customHeight="true" outlineLevel="0" collapsed="false">
      <c r="A47" s="29" t="s">
        <v>208</v>
      </c>
      <c r="B47" s="29" t="s">
        <v>233</v>
      </c>
      <c r="C47" s="39" t="n">
        <v>22.9</v>
      </c>
      <c r="D47" s="40" t="n">
        <f aca="false">IF($A47="","",SUMIFS(FichaTecnica_QtdGML,FichaTecnica_Produto,$A47))</f>
        <v>270</v>
      </c>
      <c r="E47" s="19" t="n">
        <f aca="false">IF($A47="","",SUMIFS(FichaTecnica_CustoTotal,FichaTecnica_Produto,$A47))</f>
        <v>4.78482</v>
      </c>
      <c r="F47" s="19" t="n">
        <f aca="false">IF($A47="","",IFERROR($E47/(1-Perdas),$E47))</f>
        <v>4.93280412371134</v>
      </c>
      <c r="G47" s="41" t="n">
        <f aca="false">IF($A47="","",IFERROR(INDEX(Rateio_CustoFixoPorVendaLinha,MATCH(LojaSelecionada,Rateio_LojasHeader,0)),0))</f>
        <v>7.40827777777778</v>
      </c>
      <c r="H47" s="19" t="n">
        <f aca="false">IF($A47="","",$F47+$G47)</f>
        <v>12.3410819014891</v>
      </c>
      <c r="I47" s="19" t="n">
        <f aca="false">IF($A47="","",IFERROR($H47/(1-MargemLiquidaDesejada-Impostos-TaxaCartao-Comissao),"Ajustar parâmetros"))</f>
        <v>19.1334603123862</v>
      </c>
      <c r="J47" s="20" t="n">
        <f aca="false">IF(OR($A47="",$C47=""),"",IFERROR($F47/$C47,""))</f>
        <v>0.215406293611849</v>
      </c>
      <c r="K47" s="20" t="n">
        <f aca="false">IF(OR($A47="",$C47=""),"",IFERROR(($C47-$H47-$C47*(Impostos+TaxaCartao+Comissao))/$C47,""))</f>
        <v>0.256088126572528</v>
      </c>
      <c r="L47" s="19" t="n">
        <f aca="false">IF(OR($A47="",$C47=""),"",$C47-$H47-$C47*(Impostos+TaxaCartao+Comissao))</f>
        <v>5.86441809851088</v>
      </c>
      <c r="M47" s="19" t="n">
        <f aca="false">IF(OR($A47="",$C47="",NOT(ISNUMBER($I47))),"",$C47-$I47)</f>
        <v>3.76653968761377</v>
      </c>
      <c r="N47" s="42" t="str">
        <f aca="false">IF(OR($A47="",$K47=""),"",IF($K47&gt;=MargemLiquidaDesejada,"🟢 Margem Saudável",IF($K47&gt;=MargemLiquidaDesejada*0.8,"🟡 Atenção","🔴 Abaixo da Meta")))</f>
        <v>🟢 Margem Saudável</v>
      </c>
    </row>
    <row r="48" customFormat="false" ht="15" hidden="false" customHeight="true" outlineLevel="0" collapsed="false">
      <c r="A48" s="29" t="s">
        <v>210</v>
      </c>
      <c r="B48" s="29" t="s">
        <v>233</v>
      </c>
      <c r="C48" s="39" t="n">
        <v>29.9</v>
      </c>
      <c r="D48" s="40" t="n">
        <f aca="false">IF($A48="","",SUMIFS(FichaTecnica_QtdGML,FichaTecnica_Produto,$A48))</f>
        <v>470</v>
      </c>
      <c r="E48" s="19" t="n">
        <f aca="false">IF($A48="","",SUMIFS(FichaTecnica_CustoTotal,FichaTecnica_Produto,$A48))</f>
        <v>8.18475</v>
      </c>
      <c r="F48" s="19" t="n">
        <f aca="false">IF($A48="","",IFERROR($E48/(1-Perdas),$E48))</f>
        <v>8.43788659793815</v>
      </c>
      <c r="G48" s="41" t="n">
        <f aca="false">IF($A48="","",IFERROR(INDEX(Rateio_CustoFixoPorVendaLinha,MATCH(LojaSelecionada,Rateio_LojasHeader,0)),0))</f>
        <v>7.40827777777778</v>
      </c>
      <c r="H48" s="19" t="n">
        <f aca="false">IF($A48="","",$F48+$G48)</f>
        <v>15.8461643757159</v>
      </c>
      <c r="I48" s="19" t="n">
        <f aca="false">IF($A48="","",IFERROR($H48/(1-MargemLiquidaDesejada-Impostos-TaxaCartao-Comissao),"Ajustar parâmetros"))</f>
        <v>24.5676967065363</v>
      </c>
      <c r="J48" s="20" t="n">
        <f aca="false">IF(OR($A48="",$C48=""),"",IFERROR($F48/$C48,""))</f>
        <v>0.282203565148433</v>
      </c>
      <c r="K48" s="20" t="n">
        <f aca="false">IF(OR($A48="",$C48=""),"",IFERROR(($C48-$H48-$C48*(Impostos+TaxaCartao+Comissao))/$C48,""))</f>
        <v>0.265027947300471</v>
      </c>
      <c r="L48" s="19" t="n">
        <f aca="false">IF(OR($A48="",$C48=""),"",$C48-$H48-$C48*(Impostos+TaxaCartao+Comissao))</f>
        <v>7.92433562428408</v>
      </c>
      <c r="M48" s="19" t="n">
        <f aca="false">IF(OR($A48="",$C48="",NOT(ISNUMBER($I48))),"",$C48-$I48)</f>
        <v>5.33230329346369</v>
      </c>
      <c r="N48" s="42" t="str">
        <f aca="false">IF(OR($A48="",$K48=""),"",IF($K48&gt;=MargemLiquidaDesejada,"🟢 Margem Saudável",IF($K48&gt;=MargemLiquidaDesejada*0.8,"🟡 Atenção","🔴 Abaixo da Meta")))</f>
        <v>🟢 Margem Saudável</v>
      </c>
    </row>
    <row r="49" customFormat="false" ht="15" hidden="false" customHeight="true" outlineLevel="0" collapsed="false">
      <c r="A49" s="29" t="s">
        <v>211</v>
      </c>
      <c r="B49" s="29" t="s">
        <v>234</v>
      </c>
      <c r="C49" s="39" t="n">
        <v>18</v>
      </c>
      <c r="D49" s="40" t="n">
        <f aca="false">IF($A49="","",SUMIFS(FichaTecnica_QtdGML,FichaTecnica_Produto,$A49))</f>
        <v>510</v>
      </c>
      <c r="E49" s="19" t="n">
        <f aca="false">IF($A49="","",SUMIFS(FichaTecnica_CustoTotal,FichaTecnica_Produto,$A49))</f>
        <v>2.8389</v>
      </c>
      <c r="F49" s="19" t="n">
        <f aca="false">IF($A49="","",IFERROR($E49/(1-Perdas),$E49))</f>
        <v>2.92670103092784</v>
      </c>
      <c r="G49" s="41" t="n">
        <f aca="false">IF($A49="","",IFERROR(INDEX(Rateio_CustoFixoPorVendaLinha,MATCH(LojaSelecionada,Rateio_LojasHeader,0)),0))</f>
        <v>7.40827777777778</v>
      </c>
      <c r="H49" s="19" t="n">
        <f aca="false">IF($A49="","",$F49+$G49)</f>
        <v>10.3349788087056</v>
      </c>
      <c r="I49" s="19" t="n">
        <f aca="false">IF($A49="","",IFERROR($H49/(1-MargemLiquidaDesejada-Impostos-TaxaCartao-Comissao),"Ajustar parâmetros"))</f>
        <v>16.0232229592335</v>
      </c>
      <c r="J49" s="20" t="n">
        <f aca="false">IF(OR($A49="",$C49=""),"",IFERROR($F49/$C49,""))</f>
        <v>0.162594501718213</v>
      </c>
      <c r="K49" s="20" t="n">
        <f aca="false">IF(OR($A49="",$C49=""),"",IFERROR(($C49-$H49-$C49*(Impostos+TaxaCartao+Comissao))/$C49,""))</f>
        <v>0.220834510627466</v>
      </c>
      <c r="L49" s="19" t="n">
        <f aca="false">IF(OR($A49="",$C49=""),"",$C49-$H49-$C49*(Impostos+TaxaCartao+Comissao))</f>
        <v>3.97502119129439</v>
      </c>
      <c r="M49" s="19" t="n">
        <f aca="false">IF(OR($A49="",$C49="",NOT(ISNUMBER($I49))),"",$C49-$I49)</f>
        <v>1.97677704076649</v>
      </c>
      <c r="N49" s="42" t="str">
        <f aca="false">IF(OR($A49="",$K49=""),"",IF($K49&gt;=MargemLiquidaDesejada,"🟢 Margem Saudável",IF($K49&gt;=MargemLiquidaDesejada*0.8,"🟡 Atenção","🔴 Abaixo da Meta")))</f>
        <v>🟢 Margem Saudável</v>
      </c>
    </row>
    <row r="50" customFormat="false" ht="15" hidden="false" customHeight="true" outlineLevel="0" collapsed="false">
      <c r="A50" s="29" t="s">
        <v>212</v>
      </c>
      <c r="B50" s="29" t="s">
        <v>234</v>
      </c>
      <c r="C50" s="39" t="n">
        <v>18</v>
      </c>
      <c r="D50" s="40" t="n">
        <f aca="false">IF($A50="","",SUMIFS(FichaTecnica_QtdGML,FichaTecnica_Produto,$A50))</f>
        <v>510</v>
      </c>
      <c r="E50" s="19" t="n">
        <f aca="false">IF($A50="","",SUMIFS(FichaTecnica_CustoTotal,FichaTecnica_Produto,$A50))</f>
        <v>2.8389</v>
      </c>
      <c r="F50" s="19" t="n">
        <f aca="false">IF($A50="","",IFERROR($E50/(1-Perdas),$E50))</f>
        <v>2.92670103092784</v>
      </c>
      <c r="G50" s="41" t="n">
        <f aca="false">IF($A50="","",IFERROR(INDEX(Rateio_CustoFixoPorVendaLinha,MATCH(LojaSelecionada,Rateio_LojasHeader,0)),0))</f>
        <v>7.40827777777778</v>
      </c>
      <c r="H50" s="19" t="n">
        <f aca="false">IF($A50="","",$F50+$G50)</f>
        <v>10.3349788087056</v>
      </c>
      <c r="I50" s="19" t="n">
        <f aca="false">IF($A50="","",IFERROR($H50/(1-MargemLiquidaDesejada-Impostos-TaxaCartao-Comissao),"Ajustar parâmetros"))</f>
        <v>16.0232229592335</v>
      </c>
      <c r="J50" s="20" t="n">
        <f aca="false">IF(OR($A50="",$C50=""),"",IFERROR($F50/$C50,""))</f>
        <v>0.162594501718213</v>
      </c>
      <c r="K50" s="20" t="n">
        <f aca="false">IF(OR($A50="",$C50=""),"",IFERROR(($C50-$H50-$C50*(Impostos+TaxaCartao+Comissao))/$C50,""))</f>
        <v>0.220834510627466</v>
      </c>
      <c r="L50" s="19" t="n">
        <f aca="false">IF(OR($A50="",$C50=""),"",$C50-$H50-$C50*(Impostos+TaxaCartao+Comissao))</f>
        <v>3.97502119129439</v>
      </c>
      <c r="M50" s="19" t="n">
        <f aca="false">IF(OR($A50="",$C50="",NOT(ISNUMBER($I50))),"",$C50-$I50)</f>
        <v>1.97677704076649</v>
      </c>
      <c r="N50" s="42" t="str">
        <f aca="false">IF(OR($A50="",$K50=""),"",IF($K50&gt;=MargemLiquidaDesejada,"🟢 Margem Saudável",IF($K50&gt;=MargemLiquidaDesejada*0.8,"🟡 Atenção","🔴 Abaixo da Meta")))</f>
        <v>🟢 Margem Saudável</v>
      </c>
    </row>
    <row r="51" customFormat="false" ht="15" hidden="false" customHeight="true" outlineLevel="0" collapsed="false">
      <c r="A51" s="29" t="s">
        <v>213</v>
      </c>
      <c r="B51" s="29" t="s">
        <v>234</v>
      </c>
      <c r="C51" s="39" t="n">
        <v>20</v>
      </c>
      <c r="D51" s="40" t="n">
        <f aca="false">IF($A51="","",SUMIFS(FichaTecnica_QtdGML,FichaTecnica_Produto,$A51))</f>
        <v>540</v>
      </c>
      <c r="E51" s="19" t="n">
        <f aca="false">IF($A51="","",SUMIFS(FichaTecnica_CustoTotal,FichaTecnica_Produto,$A51))</f>
        <v>3.8454</v>
      </c>
      <c r="F51" s="19" t="n">
        <f aca="false">IF($A51="","",IFERROR($E51/(1-Perdas),$E51))</f>
        <v>3.96432989690722</v>
      </c>
      <c r="G51" s="41" t="n">
        <f aca="false">IF($A51="","",IFERROR(INDEX(Rateio_CustoFixoPorVendaLinha,MATCH(LojaSelecionada,Rateio_LojasHeader,0)),0))</f>
        <v>7.40827777777778</v>
      </c>
      <c r="H51" s="19" t="n">
        <f aca="false">IF($A51="","",$F51+$G51)</f>
        <v>11.372607674685</v>
      </c>
      <c r="I51" s="19" t="n">
        <f aca="false">IF($A51="","",IFERROR($H51/(1-MargemLiquidaDesejada-Impostos-TaxaCartao-Comissao),"Ajustar parâmetros"))</f>
        <v>17.6319498832326</v>
      </c>
      <c r="J51" s="20" t="n">
        <f aca="false">IF(OR($A51="",$C51=""),"",IFERROR($F51/$C51,""))</f>
        <v>0.198216494845361</v>
      </c>
      <c r="K51" s="20" t="n">
        <f aca="false">IF(OR($A51="",$C51=""),"",IFERROR(($C51-$H51-$C51*(Impostos+TaxaCartao+Comissao))/$C51,""))</f>
        <v>0.22636961626575</v>
      </c>
      <c r="L51" s="19" t="n">
        <f aca="false">IF(OR($A51="",$C51=""),"",$C51-$H51-$C51*(Impostos+TaxaCartao+Comissao))</f>
        <v>4.52739232531501</v>
      </c>
      <c r="M51" s="19" t="n">
        <f aca="false">IF(OR($A51="",$C51="",NOT(ISNUMBER($I51))),"",$C51-$I51)</f>
        <v>2.36805011676745</v>
      </c>
      <c r="N51" s="42" t="str">
        <f aca="false">IF(OR($A51="",$K51=""),"",IF($K51&gt;=MargemLiquidaDesejada,"🟢 Margem Saudável",IF($K51&gt;=MargemLiquidaDesejada*0.8,"🟡 Atenção","🔴 Abaixo da Meta")))</f>
        <v>🟢 Margem Saudável</v>
      </c>
    </row>
    <row r="52" customFormat="false" ht="15" hidden="false" customHeight="true" outlineLevel="0" collapsed="false">
      <c r="A52" s="29" t="s">
        <v>214</v>
      </c>
      <c r="B52" s="29" t="s">
        <v>234</v>
      </c>
      <c r="C52" s="39" t="n">
        <v>20</v>
      </c>
      <c r="D52" s="40" t="n">
        <f aca="false">IF($A52="","",SUMIFS(FichaTecnica_QtdGML,FichaTecnica_Produto,$A52))</f>
        <v>510</v>
      </c>
      <c r="E52" s="19" t="n">
        <f aca="false">IF($A52="","",SUMIFS(FichaTecnica_CustoTotal,FichaTecnica_Produto,$A52))</f>
        <v>4.4349</v>
      </c>
      <c r="F52" s="19" t="n">
        <f aca="false">IF($A52="","",IFERROR($E52/(1-Perdas),$E52))</f>
        <v>4.5720618556701</v>
      </c>
      <c r="G52" s="41" t="n">
        <f aca="false">IF($A52="","",IFERROR(INDEX(Rateio_CustoFixoPorVendaLinha,MATCH(LojaSelecionada,Rateio_LojasHeader,0)),0))</f>
        <v>7.40827777777778</v>
      </c>
      <c r="H52" s="19" t="n">
        <f aca="false">IF($A52="","",$F52+$G52)</f>
        <v>11.9803396334479</v>
      </c>
      <c r="I52" s="19" t="n">
        <f aca="false">IF($A52="","",IFERROR($H52/(1-MargemLiquidaDesejada-Impostos-TaxaCartao-Comissao),"Ajustar parâmetros"))</f>
        <v>18.5741699743378</v>
      </c>
      <c r="J52" s="20" t="n">
        <f aca="false">IF(OR($A52="",$C52=""),"",IFERROR($F52/$C52,""))</f>
        <v>0.228603092783505</v>
      </c>
      <c r="K52" s="20" t="n">
        <f aca="false">IF(OR($A52="",$C52=""),"",IFERROR(($C52-$H52-$C52*(Impostos+TaxaCartao+Comissao))/$C52,""))</f>
        <v>0.195983018327606</v>
      </c>
      <c r="L52" s="19" t="n">
        <f aca="false">IF(OR($A52="",$C52=""),"",$C52-$H52-$C52*(Impostos+TaxaCartao+Comissao))</f>
        <v>3.91966036655212</v>
      </c>
      <c r="M52" s="19" t="n">
        <f aca="false">IF(OR($A52="",$C52="",NOT(ISNUMBER($I52))),"",$C52-$I52)</f>
        <v>1.4258300256622</v>
      </c>
      <c r="N52" s="42" t="str">
        <f aca="false">IF(OR($A52="",$K52=""),"",IF($K52&gt;=MargemLiquidaDesejada,"🟢 Margem Saudável",IF($K52&gt;=MargemLiquidaDesejada*0.8,"🟡 Atenção","🔴 Abaixo da Meta")))</f>
        <v>🟢 Margem Saudável</v>
      </c>
    </row>
    <row r="53" customFormat="false" ht="15" hidden="false" customHeight="true" outlineLevel="0" collapsed="false">
      <c r="A53" s="29" t="s">
        <v>215</v>
      </c>
      <c r="B53" s="29" t="s">
        <v>234</v>
      </c>
      <c r="C53" s="39" t="n">
        <v>22</v>
      </c>
      <c r="D53" s="40" t="n">
        <f aca="false">IF($A53="","",SUMIFS(FichaTecnica_QtdGML,FichaTecnica_Produto,$A53))</f>
        <v>540</v>
      </c>
      <c r="E53" s="19" t="n">
        <f aca="false">IF($A53="","",SUMIFS(FichaTecnica_CustoTotal,FichaTecnica_Produto,$A53))</f>
        <v>4.1088</v>
      </c>
      <c r="F53" s="19" t="n">
        <f aca="false">IF($A53="","",IFERROR($E53/(1-Perdas),$E53))</f>
        <v>4.23587628865979</v>
      </c>
      <c r="G53" s="41" t="n">
        <f aca="false">IF($A53="","",IFERROR(INDEX(Rateio_CustoFixoPorVendaLinha,MATCH(LojaSelecionada,Rateio_LojasHeader,0)),0))</f>
        <v>7.40827777777778</v>
      </c>
      <c r="H53" s="19" t="n">
        <f aca="false">IF($A53="","",$F53+$G53)</f>
        <v>11.6441540664376</v>
      </c>
      <c r="I53" s="19" t="n">
        <f aca="false">IF($A53="","",IFERROR($H53/(1-MargemLiquidaDesejada-Impostos-TaxaCartao-Comissao),"Ajustar parâmetros"))</f>
        <v>18.0529520409885</v>
      </c>
      <c r="J53" s="20" t="n">
        <f aca="false">IF(OR($A53="",$C53=""),"",IFERROR($F53/$C53,""))</f>
        <v>0.192539831302718</v>
      </c>
      <c r="K53" s="20" t="n">
        <f aca="false">IF(OR($A53="",$C53=""),"",IFERROR(($C53-$H53-$C53*(Impostos+TaxaCartao+Comissao))/$C53,""))</f>
        <v>0.265720269707383</v>
      </c>
      <c r="L53" s="19" t="n">
        <f aca="false">IF(OR($A53="",$C53=""),"",$C53-$H53-$C53*(Impostos+TaxaCartao+Comissao))</f>
        <v>5.84584593356243</v>
      </c>
      <c r="M53" s="19" t="n">
        <f aca="false">IF(OR($A53="",$C53="",NOT(ISNUMBER($I53))),"",$C53-$I53)</f>
        <v>3.94704795901152</v>
      </c>
      <c r="N53" s="42" t="str">
        <f aca="false">IF(OR($A53="",$K53=""),"",IF($K53&gt;=MargemLiquidaDesejada,"🟢 Margem Saudável",IF($K53&gt;=MargemLiquidaDesejada*0.8,"🟡 Atenção","🔴 Abaixo da Meta")))</f>
        <v>🟢 Margem Saudável</v>
      </c>
    </row>
    <row r="54" customFormat="false" ht="15" hidden="false" customHeight="true" outlineLevel="0" collapsed="false">
      <c r="A54" s="29" t="s">
        <v>216</v>
      </c>
      <c r="B54" s="29" t="s">
        <v>234</v>
      </c>
      <c r="C54" s="39" t="n">
        <v>24</v>
      </c>
      <c r="D54" s="40" t="n">
        <f aca="false">IF($A54="","",SUMIFS(FichaTecnica_QtdGML,FichaTecnica_Produto,$A54))</f>
        <v>510</v>
      </c>
      <c r="E54" s="19" t="n">
        <f aca="false">IF($A54="","",SUMIFS(FichaTecnica_CustoTotal,FichaTecnica_Produto,$A54))</f>
        <v>2.8389</v>
      </c>
      <c r="F54" s="19" t="n">
        <f aca="false">IF($A54="","",IFERROR($E54/(1-Perdas),$E54))</f>
        <v>2.92670103092784</v>
      </c>
      <c r="G54" s="41" t="n">
        <f aca="false">IF($A54="","",IFERROR(INDEX(Rateio_CustoFixoPorVendaLinha,MATCH(LojaSelecionada,Rateio_LojasHeader,0)),0))</f>
        <v>7.40827777777778</v>
      </c>
      <c r="H54" s="19" t="n">
        <f aca="false">IF($A54="","",$F54+$G54)</f>
        <v>10.3349788087056</v>
      </c>
      <c r="I54" s="19" t="n">
        <f aca="false">IF($A54="","",IFERROR($H54/(1-MargemLiquidaDesejada-Impostos-TaxaCartao-Comissao),"Ajustar parâmetros"))</f>
        <v>16.0232229592335</v>
      </c>
      <c r="J54" s="20" t="n">
        <f aca="false">IF(OR($A54="",$C54=""),"",IFERROR($F54/$C54,""))</f>
        <v>0.12194587628866</v>
      </c>
      <c r="K54" s="20" t="n">
        <f aca="false">IF(OR($A54="",$C54=""),"",IFERROR(($C54-$H54-$C54*(Impostos+TaxaCartao+Comissao))/$C54,""))</f>
        <v>0.3643758829706</v>
      </c>
      <c r="L54" s="19" t="n">
        <f aca="false">IF(OR($A54="",$C54=""),"",$C54-$H54-$C54*(Impostos+TaxaCartao+Comissao))</f>
        <v>8.74502119129439</v>
      </c>
      <c r="M54" s="19" t="n">
        <f aca="false">IF(OR($A54="",$C54="",NOT(ISNUMBER($I54))),"",$C54-$I54)</f>
        <v>7.97677704076649</v>
      </c>
      <c r="N54" s="42" t="str">
        <f aca="false">IF(OR($A54="",$K54=""),"",IF($K54&gt;=MargemLiquidaDesejada,"🟢 Margem Saudável",IF($K54&gt;=MargemLiquidaDesejada*0.8,"🟡 Atenção","🔴 Abaixo da Meta")))</f>
        <v>🟢 Margem Saudável</v>
      </c>
    </row>
    <row r="55" customFormat="false" ht="15" hidden="false" customHeight="true" outlineLevel="0" collapsed="false">
      <c r="A55" s="29" t="s">
        <v>145</v>
      </c>
      <c r="B55" s="29" t="s">
        <v>146</v>
      </c>
      <c r="C55" s="39" t="n">
        <v>4</v>
      </c>
      <c r="D55" s="40" t="n">
        <f aca="false">IF($A55="","",SUMIFS(FichaTecnica_QtdGML,FichaTecnica_Produto,$A55))</f>
        <v>0</v>
      </c>
      <c r="E55" s="19" t="n">
        <f aca="false">IF($A55="","",SUMIFS(FichaTecnica_CustoTotal,FichaTecnica_Produto,$A55))</f>
        <v>0</v>
      </c>
      <c r="F55" s="19" t="n">
        <f aca="false">IF($A55="","",IFERROR($E55/(1-Perdas),$E55))</f>
        <v>0</v>
      </c>
      <c r="G55" s="41" t="n">
        <f aca="false">IF($A55="","",IFERROR(INDEX(Rateio_CustoFixoPorVendaLinha,MATCH(LojaSelecionada,Rateio_LojasHeader,0)),0))</f>
        <v>7.40827777777778</v>
      </c>
      <c r="H55" s="19" t="n">
        <f aca="false">IF($A55="","",$F55+$G55)</f>
        <v>7.40827777777778</v>
      </c>
      <c r="I55" s="19" t="n">
        <f aca="false">IF($A55="","",IFERROR($H55/(1-MargemLiquidaDesejada-Impostos-TaxaCartao-Comissao),"Ajustar parâmetros"))</f>
        <v>11.4857019810508</v>
      </c>
      <c r="J55" s="20" t="n">
        <f aca="false">IF(OR($A55="",$C55=""),"",IFERROR($F55/$C55,""))</f>
        <v>0</v>
      </c>
      <c r="K55" s="20" t="n">
        <f aca="false">IF(OR($A55="",$C55=""),"",IFERROR(($C55-$H55-$C55*(Impostos+TaxaCartao+Comissao))/$C55,""))</f>
        <v>-1.05706944444444</v>
      </c>
      <c r="L55" s="19" t="n">
        <f aca="false">IF(OR($A55="",$C55=""),"",$C55-$H55-$C55*(Impostos+TaxaCartao+Comissao))</f>
        <v>-4.22827777777778</v>
      </c>
      <c r="M55" s="19" t="n">
        <f aca="false">IF(OR($A55="",$C55="",NOT(ISNUMBER($I55))),"",$C55-$I55)</f>
        <v>-7.48570198105082</v>
      </c>
      <c r="N55" s="42" t="str">
        <f aca="false">IF(OR($A55="",$K55=""),"",IF($K55&gt;=MargemLiquidaDesejada,"🟢 Margem Saudável",IF($K55&gt;=MargemLiquidaDesejada*0.8,"🟡 Atenção","🔴 Abaixo da Meta")))</f>
        <v>🔴 Abaixo da Meta</v>
      </c>
    </row>
    <row r="56" customFormat="false" ht="15" hidden="false" customHeight="true" outlineLevel="0" collapsed="false">
      <c r="A56" s="29" t="s">
        <v>147</v>
      </c>
      <c r="B56" s="29" t="s">
        <v>146</v>
      </c>
      <c r="C56" s="39" t="n">
        <v>4.5</v>
      </c>
      <c r="D56" s="40" t="n">
        <f aca="false">IF($A56="","",SUMIFS(FichaTecnica_QtdGML,FichaTecnica_Produto,$A56))</f>
        <v>0</v>
      </c>
      <c r="E56" s="19" t="n">
        <f aca="false">IF($A56="","",SUMIFS(FichaTecnica_CustoTotal,FichaTecnica_Produto,$A56))</f>
        <v>0</v>
      </c>
      <c r="F56" s="19" t="n">
        <f aca="false">IF($A56="","",IFERROR($E56/(1-Perdas),$E56))</f>
        <v>0</v>
      </c>
      <c r="G56" s="41" t="n">
        <f aca="false">IF($A56="","",IFERROR(INDEX(Rateio_CustoFixoPorVendaLinha,MATCH(LojaSelecionada,Rateio_LojasHeader,0)),0))</f>
        <v>7.40827777777778</v>
      </c>
      <c r="H56" s="19" t="n">
        <f aca="false">IF($A56="","",$F56+$G56)</f>
        <v>7.40827777777778</v>
      </c>
      <c r="I56" s="19" t="n">
        <f aca="false">IF($A56="","",IFERROR($H56/(1-MargemLiquidaDesejada-Impostos-TaxaCartao-Comissao),"Ajustar parâmetros"))</f>
        <v>11.4857019810508</v>
      </c>
      <c r="J56" s="20" t="n">
        <f aca="false">IF(OR($A56="",$C56=""),"",IFERROR($F56/$C56,""))</f>
        <v>0</v>
      </c>
      <c r="K56" s="20" t="n">
        <f aca="false">IF(OR($A56="",$C56=""),"",IFERROR(($C56-$H56-$C56*(Impostos+TaxaCartao+Comissao))/$C56,""))</f>
        <v>-0.851283950617284</v>
      </c>
      <c r="L56" s="19" t="n">
        <f aca="false">IF(OR($A56="",$C56=""),"",$C56-$H56-$C56*(Impostos+TaxaCartao+Comissao))</f>
        <v>-3.83077777777778</v>
      </c>
      <c r="M56" s="19" t="n">
        <f aca="false">IF(OR($A56="",$C56="",NOT(ISNUMBER($I56))),"",$C56-$I56)</f>
        <v>-6.98570198105082</v>
      </c>
      <c r="N56" s="42" t="str">
        <f aca="false">IF(OR($A56="",$K56=""),"",IF($K56&gt;=MargemLiquidaDesejada,"🟢 Margem Saudável",IF($K56&gt;=MargemLiquidaDesejada*0.8,"🟡 Atenção","🔴 Abaixo da Meta")))</f>
        <v>🔴 Abaixo da Meta</v>
      </c>
    </row>
    <row r="57" customFormat="false" ht="15" hidden="false" customHeight="true" outlineLevel="0" collapsed="false">
      <c r="A57" s="29" t="s">
        <v>148</v>
      </c>
      <c r="B57" s="29" t="s">
        <v>146</v>
      </c>
      <c r="C57" s="39" t="n">
        <v>3.5</v>
      </c>
      <c r="D57" s="40" t="n">
        <f aca="false">IF($A57="","",SUMIFS(FichaTecnica_QtdGML,FichaTecnica_Produto,$A57))</f>
        <v>0</v>
      </c>
      <c r="E57" s="19" t="n">
        <f aca="false">IF($A57="","",SUMIFS(FichaTecnica_CustoTotal,FichaTecnica_Produto,$A57))</f>
        <v>0</v>
      </c>
      <c r="F57" s="19" t="n">
        <f aca="false">IF($A57="","",IFERROR($E57/(1-Perdas),$E57))</f>
        <v>0</v>
      </c>
      <c r="G57" s="41" t="n">
        <f aca="false">IF($A57="","",IFERROR(INDEX(Rateio_CustoFixoPorVendaLinha,MATCH(LojaSelecionada,Rateio_LojasHeader,0)),0))</f>
        <v>7.40827777777778</v>
      </c>
      <c r="H57" s="19" t="n">
        <f aca="false">IF($A57="","",$F57+$G57)</f>
        <v>7.40827777777778</v>
      </c>
      <c r="I57" s="19" t="n">
        <f aca="false">IF($A57="","",IFERROR($H57/(1-MargemLiquidaDesejada-Impostos-TaxaCartao-Comissao),"Ajustar parâmetros"))</f>
        <v>11.4857019810508</v>
      </c>
      <c r="J57" s="20" t="n">
        <f aca="false">IF(OR($A57="",$C57=""),"",IFERROR($F57/$C57,""))</f>
        <v>0</v>
      </c>
      <c r="K57" s="20" t="n">
        <f aca="false">IF(OR($A57="",$C57=""),"",IFERROR(($C57-$H57-$C57*(Impostos+TaxaCartao+Comissao))/$C57,""))</f>
        <v>-1.32165079365079</v>
      </c>
      <c r="L57" s="19" t="n">
        <f aca="false">IF(OR($A57="",$C57=""),"",$C57-$H57-$C57*(Impostos+TaxaCartao+Comissao))</f>
        <v>-4.62577777777778</v>
      </c>
      <c r="M57" s="19" t="n">
        <f aca="false">IF(OR($A57="",$C57="",NOT(ISNUMBER($I57))),"",$C57-$I57)</f>
        <v>-7.98570198105082</v>
      </c>
      <c r="N57" s="42" t="str">
        <f aca="false">IF(OR($A57="",$K57=""),"",IF($K57&gt;=MargemLiquidaDesejada,"🟢 Margem Saudável",IF($K57&gt;=MargemLiquidaDesejada*0.8,"🟡 Atenção","🔴 Abaixo da Meta")))</f>
        <v>🔴 Abaixo da Meta</v>
      </c>
    </row>
    <row r="58" customFormat="false" ht="15" hidden="false" customHeight="true" outlineLevel="0" collapsed="false">
      <c r="A58" s="29" t="s">
        <v>149</v>
      </c>
      <c r="B58" s="29" t="s">
        <v>146</v>
      </c>
      <c r="C58" s="39" t="n">
        <v>3</v>
      </c>
      <c r="D58" s="40" t="n">
        <f aca="false">IF($A58="","",SUMIFS(FichaTecnica_QtdGML,FichaTecnica_Produto,$A58))</f>
        <v>0</v>
      </c>
      <c r="E58" s="19" t="n">
        <f aca="false">IF($A58="","",SUMIFS(FichaTecnica_CustoTotal,FichaTecnica_Produto,$A58))</f>
        <v>0</v>
      </c>
      <c r="F58" s="19" t="n">
        <f aca="false">IF($A58="","",IFERROR($E58/(1-Perdas),$E58))</f>
        <v>0</v>
      </c>
      <c r="G58" s="41" t="n">
        <f aca="false">IF($A58="","",IFERROR(INDEX(Rateio_CustoFixoPorVendaLinha,MATCH(LojaSelecionada,Rateio_LojasHeader,0)),0))</f>
        <v>7.40827777777778</v>
      </c>
      <c r="H58" s="19" t="n">
        <f aca="false">IF($A58="","",$F58+$G58)</f>
        <v>7.40827777777778</v>
      </c>
      <c r="I58" s="19" t="n">
        <f aca="false">IF($A58="","",IFERROR($H58/(1-MargemLiquidaDesejada-Impostos-TaxaCartao-Comissao),"Ajustar parâmetros"))</f>
        <v>11.4857019810508</v>
      </c>
      <c r="J58" s="20" t="n">
        <f aca="false">IF(OR($A58="",$C58=""),"",IFERROR($F58/$C58,""))</f>
        <v>0</v>
      </c>
      <c r="K58" s="20" t="n">
        <f aca="false">IF(OR($A58="",$C58=""),"",IFERROR(($C58-$H58-$C58*(Impostos+TaxaCartao+Comissao))/$C58,""))</f>
        <v>-1.67442592592593</v>
      </c>
      <c r="L58" s="19" t="n">
        <f aca="false">IF(OR($A58="",$C58=""),"",$C58-$H58-$C58*(Impostos+TaxaCartao+Comissao))</f>
        <v>-5.02327777777778</v>
      </c>
      <c r="M58" s="19" t="n">
        <f aca="false">IF(OR($A58="",$C58="",NOT(ISNUMBER($I58))),"",$C58-$I58)</f>
        <v>-8.48570198105082</v>
      </c>
      <c r="N58" s="42" t="str">
        <f aca="false">IF(OR($A58="",$K58=""),"",IF($K58&gt;=MargemLiquidaDesejada,"🟢 Margem Saudável",IF($K58&gt;=MargemLiquidaDesejada*0.8,"🟡 Atenção","🔴 Abaixo da Meta")))</f>
        <v>🔴 Abaixo da Meta</v>
      </c>
    </row>
    <row r="59" customFormat="false" ht="15" hidden="false" customHeight="true" outlineLevel="0" collapsed="false">
      <c r="A59" s="29" t="s">
        <v>150</v>
      </c>
      <c r="B59" s="29" t="s">
        <v>146</v>
      </c>
      <c r="C59" s="39" t="n">
        <v>5</v>
      </c>
      <c r="D59" s="40" t="n">
        <f aca="false">IF($A59="","",SUMIFS(FichaTecnica_QtdGML,FichaTecnica_Produto,$A59))</f>
        <v>0</v>
      </c>
      <c r="E59" s="19" t="n">
        <f aca="false">IF($A59="","",SUMIFS(FichaTecnica_CustoTotal,FichaTecnica_Produto,$A59))</f>
        <v>0</v>
      </c>
      <c r="F59" s="19" t="n">
        <f aca="false">IF($A59="","",IFERROR($E59/(1-Perdas),$E59))</f>
        <v>0</v>
      </c>
      <c r="G59" s="41" t="n">
        <f aca="false">IF($A59="","",IFERROR(INDEX(Rateio_CustoFixoPorVendaLinha,MATCH(LojaSelecionada,Rateio_LojasHeader,0)),0))</f>
        <v>7.40827777777778</v>
      </c>
      <c r="H59" s="19" t="n">
        <f aca="false">IF($A59="","",$F59+$G59)</f>
        <v>7.40827777777778</v>
      </c>
      <c r="I59" s="19" t="n">
        <f aca="false">IF($A59="","",IFERROR($H59/(1-MargemLiquidaDesejada-Impostos-TaxaCartao-Comissao),"Ajustar parâmetros"))</f>
        <v>11.4857019810508</v>
      </c>
      <c r="J59" s="20" t="n">
        <f aca="false">IF(OR($A59="",$C59=""),"",IFERROR($F59/$C59,""))</f>
        <v>0</v>
      </c>
      <c r="K59" s="20" t="n">
        <f aca="false">IF(OR($A59="",$C59=""),"",IFERROR(($C59-$H59-$C59*(Impostos+TaxaCartao+Comissao))/$C59,""))</f>
        <v>-0.686655555555556</v>
      </c>
      <c r="L59" s="19" t="n">
        <f aca="false">IF(OR($A59="",$C59=""),"",$C59-$H59-$C59*(Impostos+TaxaCartao+Comissao))</f>
        <v>-3.43327777777778</v>
      </c>
      <c r="M59" s="19" t="n">
        <f aca="false">IF(OR($A59="",$C59="",NOT(ISNUMBER($I59))),"",$C59-$I59)</f>
        <v>-6.48570198105082</v>
      </c>
      <c r="N59" s="42" t="str">
        <f aca="false">IF(OR($A59="",$K59=""),"",IF($K59&gt;=MargemLiquidaDesejada,"🟢 Margem Saudável",IF($K59&gt;=MargemLiquidaDesejada*0.8,"🟡 Atenção","🔴 Abaixo da Meta")))</f>
        <v>🔴 Abaixo da Meta</v>
      </c>
    </row>
    <row r="60" customFormat="false" ht="15" hidden="false" customHeight="true" outlineLevel="0" collapsed="false">
      <c r="A60" s="29" t="s">
        <v>151</v>
      </c>
      <c r="B60" s="29" t="s">
        <v>146</v>
      </c>
      <c r="C60" s="39" t="n">
        <v>6</v>
      </c>
      <c r="D60" s="40" t="n">
        <f aca="false">IF($A60="","",SUMIFS(FichaTecnica_QtdGML,FichaTecnica_Produto,$A60))</f>
        <v>0</v>
      </c>
      <c r="E60" s="19" t="n">
        <f aca="false">IF($A60="","",SUMIFS(FichaTecnica_CustoTotal,FichaTecnica_Produto,$A60))</f>
        <v>0</v>
      </c>
      <c r="F60" s="19" t="n">
        <f aca="false">IF($A60="","",IFERROR($E60/(1-Perdas),$E60))</f>
        <v>0</v>
      </c>
      <c r="G60" s="41" t="n">
        <f aca="false">IF($A60="","",IFERROR(INDEX(Rateio_CustoFixoPorVendaLinha,MATCH(LojaSelecionada,Rateio_LojasHeader,0)),0))</f>
        <v>7.40827777777778</v>
      </c>
      <c r="H60" s="19" t="n">
        <f aca="false">IF($A60="","",$F60+$G60)</f>
        <v>7.40827777777778</v>
      </c>
      <c r="I60" s="19" t="n">
        <f aca="false">IF($A60="","",IFERROR($H60/(1-MargemLiquidaDesejada-Impostos-TaxaCartao-Comissao),"Ajustar parâmetros"))</f>
        <v>11.4857019810508</v>
      </c>
      <c r="J60" s="20" t="n">
        <f aca="false">IF(OR($A60="",$C60=""),"",IFERROR($F60/$C60,""))</f>
        <v>0</v>
      </c>
      <c r="K60" s="20" t="n">
        <f aca="false">IF(OR($A60="",$C60=""),"",IFERROR(($C60-$H60-$C60*(Impostos+TaxaCartao+Comissao))/$C60,""))</f>
        <v>-0.439712962962963</v>
      </c>
      <c r="L60" s="19" t="n">
        <f aca="false">IF(OR($A60="",$C60=""),"",$C60-$H60-$C60*(Impostos+TaxaCartao+Comissao))</f>
        <v>-2.63827777777778</v>
      </c>
      <c r="M60" s="19" t="n">
        <f aca="false">IF(OR($A60="",$C60="",NOT(ISNUMBER($I60))),"",$C60-$I60)</f>
        <v>-5.48570198105082</v>
      </c>
      <c r="N60" s="42" t="str">
        <f aca="false">IF(OR($A60="",$K60=""),"",IF($K60&gt;=MargemLiquidaDesejada,"🟢 Margem Saudável",IF($K60&gt;=MargemLiquidaDesejada*0.8,"🟡 Atenção","🔴 Abaixo da Meta")))</f>
        <v>🔴 Abaixo da Meta</v>
      </c>
    </row>
    <row r="61" customFormat="false" ht="15" hidden="false" customHeight="true" outlineLevel="0" collapsed="false">
      <c r="A61" s="29" t="s">
        <v>152</v>
      </c>
      <c r="B61" s="29" t="s">
        <v>146</v>
      </c>
      <c r="C61" s="39" t="n">
        <v>8</v>
      </c>
      <c r="D61" s="40" t="n">
        <f aca="false">IF($A61="","",SUMIFS(FichaTecnica_QtdGML,FichaTecnica_Produto,$A61))</f>
        <v>0</v>
      </c>
      <c r="E61" s="19" t="n">
        <f aca="false">IF($A61="","",SUMIFS(FichaTecnica_CustoTotal,FichaTecnica_Produto,$A61))</f>
        <v>0</v>
      </c>
      <c r="F61" s="19" t="n">
        <f aca="false">IF($A61="","",IFERROR($E61/(1-Perdas),$E61))</f>
        <v>0</v>
      </c>
      <c r="G61" s="41" t="n">
        <f aca="false">IF($A61="","",IFERROR(INDEX(Rateio_CustoFixoPorVendaLinha,MATCH(LojaSelecionada,Rateio_LojasHeader,0)),0))</f>
        <v>7.40827777777778</v>
      </c>
      <c r="H61" s="19" t="n">
        <f aca="false">IF($A61="","",$F61+$G61)</f>
        <v>7.40827777777778</v>
      </c>
      <c r="I61" s="19" t="n">
        <f aca="false">IF($A61="","",IFERROR($H61/(1-MargemLiquidaDesejada-Impostos-TaxaCartao-Comissao),"Ajustar parâmetros"))</f>
        <v>11.4857019810508</v>
      </c>
      <c r="J61" s="20" t="n">
        <f aca="false">IF(OR($A61="",$C61=""),"",IFERROR($F61/$C61,""))</f>
        <v>0</v>
      </c>
      <c r="K61" s="20" t="n">
        <f aca="false">IF(OR($A61="",$C61=""),"",IFERROR(($C61-$H61-$C61*(Impostos+TaxaCartao+Comissao))/$C61,""))</f>
        <v>-0.131034722222222</v>
      </c>
      <c r="L61" s="19" t="n">
        <f aca="false">IF(OR($A61="",$C61=""),"",$C61-$H61-$C61*(Impostos+TaxaCartao+Comissao))</f>
        <v>-1.04827777777778</v>
      </c>
      <c r="M61" s="19" t="n">
        <f aca="false">IF(OR($A61="",$C61="",NOT(ISNUMBER($I61))),"",$C61-$I61)</f>
        <v>-3.48570198105082</v>
      </c>
      <c r="N61" s="42" t="str">
        <f aca="false">IF(OR($A61="",$K61=""),"",IF($K61&gt;=MargemLiquidaDesejada,"🟢 Margem Saudável",IF($K61&gt;=MargemLiquidaDesejada*0.8,"🟡 Atenção","🔴 Abaixo da Meta")))</f>
        <v>🔴 Abaixo da Meta</v>
      </c>
    </row>
    <row r="62" customFormat="false" ht="15" hidden="false" customHeight="true" outlineLevel="0" collapsed="false">
      <c r="A62" s="29" t="s">
        <v>153</v>
      </c>
      <c r="B62" s="29" t="s">
        <v>146</v>
      </c>
      <c r="C62" s="39" t="n">
        <v>6</v>
      </c>
      <c r="D62" s="40" t="n">
        <f aca="false">IF($A62="","",SUMIFS(FichaTecnica_QtdGML,FichaTecnica_Produto,$A62))</f>
        <v>0</v>
      </c>
      <c r="E62" s="19" t="n">
        <f aca="false">IF($A62="","",SUMIFS(FichaTecnica_CustoTotal,FichaTecnica_Produto,$A62))</f>
        <v>0</v>
      </c>
      <c r="F62" s="19" t="n">
        <f aca="false">IF($A62="","",IFERROR($E62/(1-Perdas),$E62))</f>
        <v>0</v>
      </c>
      <c r="G62" s="41" t="n">
        <f aca="false">IF($A62="","",IFERROR(INDEX(Rateio_CustoFixoPorVendaLinha,MATCH(LojaSelecionada,Rateio_LojasHeader,0)),0))</f>
        <v>7.40827777777778</v>
      </c>
      <c r="H62" s="19" t="n">
        <f aca="false">IF($A62="","",$F62+$G62)</f>
        <v>7.40827777777778</v>
      </c>
      <c r="I62" s="19" t="n">
        <f aca="false">IF($A62="","",IFERROR($H62/(1-MargemLiquidaDesejada-Impostos-TaxaCartao-Comissao),"Ajustar parâmetros"))</f>
        <v>11.4857019810508</v>
      </c>
      <c r="J62" s="20" t="n">
        <f aca="false">IF(OR($A62="",$C62=""),"",IFERROR($F62/$C62,""))</f>
        <v>0</v>
      </c>
      <c r="K62" s="20" t="n">
        <f aca="false">IF(OR($A62="",$C62=""),"",IFERROR(($C62-$H62-$C62*(Impostos+TaxaCartao+Comissao))/$C62,""))</f>
        <v>-0.439712962962963</v>
      </c>
      <c r="L62" s="19" t="n">
        <f aca="false">IF(OR($A62="",$C62=""),"",$C62-$H62-$C62*(Impostos+TaxaCartao+Comissao))</f>
        <v>-2.63827777777778</v>
      </c>
      <c r="M62" s="19" t="n">
        <f aca="false">IF(OR($A62="",$C62="",NOT(ISNUMBER($I62))),"",$C62-$I62)</f>
        <v>-5.48570198105082</v>
      </c>
      <c r="N62" s="42" t="str">
        <f aca="false">IF(OR($A62="",$K62=""),"",IF($K62&gt;=MargemLiquidaDesejada,"🟢 Margem Saudável",IF($K62&gt;=MargemLiquidaDesejada*0.8,"🟡 Atenção","🔴 Abaixo da Meta")))</f>
        <v>🔴 Abaixo da Meta</v>
      </c>
    </row>
    <row r="63" customFormat="false" ht="15" hidden="false" customHeight="true" outlineLevel="0" collapsed="false">
      <c r="A63" s="33"/>
      <c r="B63" s="33"/>
      <c r="C63" s="33"/>
      <c r="D63" s="40" t="str">
        <f aca="false">IF($A63="","",SUMIFS(FichaTecnica_QtdGML,FichaTecnica_Produto,$A63))</f>
        <v/>
      </c>
      <c r="E63" s="19" t="str">
        <f aca="false">IF($A63="","",SUMIFS(FichaTecnica_CustoTotal,FichaTecnica_Produto,$A63))</f>
        <v/>
      </c>
      <c r="F63" s="19" t="str">
        <f aca="false">IF($A63="","",IFERROR($E63/(1-Perdas),$E63))</f>
        <v/>
      </c>
      <c r="G63" s="41" t="str">
        <f aca="false">IF($A63="","",IFERROR(INDEX(Rateio_CustoFixoPorVendaLinha,MATCH(LojaSelecionada,Rateio_LojasHeader,0)),0))</f>
        <v/>
      </c>
      <c r="H63" s="19" t="str">
        <f aca="false">IF($A63="","",$F63+$G63)</f>
        <v/>
      </c>
      <c r="I63" s="19" t="str">
        <f aca="false">IF($A63="","",IFERROR($H63/(1-MargemLiquidaDesejada-Impostos-TaxaCartao-Comissao),"Ajustar parâmetros"))</f>
        <v/>
      </c>
      <c r="J63" s="20" t="str">
        <f aca="false">IF(OR($A63="",$C63=""),"",IFERROR($F63/$C63,""))</f>
        <v/>
      </c>
      <c r="K63" s="20" t="str">
        <f aca="false">IF(OR($A63="",$C63=""),"",IFERROR(($C63-$H63-$C63*(Impostos+TaxaCartao+Comissao))/$C63,""))</f>
        <v/>
      </c>
      <c r="L63" s="19" t="str">
        <f aca="false">IF(OR($A63="",$C63=""),"",$C63-$H63-$C63*(Impostos+TaxaCartao+Comissao))</f>
        <v/>
      </c>
      <c r="M63" s="19" t="str">
        <f aca="false">IF(OR($A63="",$C63="",NOT(ISNUMBER($I63))),"",$C63-$I63)</f>
        <v/>
      </c>
      <c r="N63" s="42" t="str">
        <f aca="false">IF(OR($A63="",$K63=""),"",IF($K63&gt;=MargemLiquidaDesejada,"🟢 Margem Saudável",IF($K63&gt;=MargemLiquidaDesejada*0.8,"🟡 Atenção","🔴 Abaixo da Meta")))</f>
        <v/>
      </c>
    </row>
    <row r="64" customFormat="false" ht="15" hidden="false" customHeight="true" outlineLevel="0" collapsed="false">
      <c r="A64" s="33"/>
      <c r="B64" s="33"/>
      <c r="C64" s="33"/>
      <c r="D64" s="40" t="str">
        <f aca="false">IF($A64="","",SUMIFS(FichaTecnica_QtdGML,FichaTecnica_Produto,$A64))</f>
        <v/>
      </c>
      <c r="E64" s="19" t="str">
        <f aca="false">IF($A64="","",SUMIFS(FichaTecnica_CustoTotal,FichaTecnica_Produto,$A64))</f>
        <v/>
      </c>
      <c r="F64" s="19" t="str">
        <f aca="false">IF($A64="","",IFERROR($E64/(1-Perdas),$E64))</f>
        <v/>
      </c>
      <c r="G64" s="41" t="str">
        <f aca="false">IF($A64="","",IFERROR(INDEX(Rateio_CustoFixoPorVendaLinha,MATCH(LojaSelecionada,Rateio_LojasHeader,0)),0))</f>
        <v/>
      </c>
      <c r="H64" s="19" t="str">
        <f aca="false">IF($A64="","",$F64+$G64)</f>
        <v/>
      </c>
      <c r="I64" s="19" t="str">
        <f aca="false">IF($A64="","",IFERROR($H64/(1-MargemLiquidaDesejada-Impostos-TaxaCartao-Comissao),"Ajustar parâmetros"))</f>
        <v/>
      </c>
      <c r="J64" s="20" t="str">
        <f aca="false">IF(OR($A64="",$C64=""),"",IFERROR($F64/$C64,""))</f>
        <v/>
      </c>
      <c r="K64" s="20" t="str">
        <f aca="false">IF(OR($A64="",$C64=""),"",IFERROR(($C64-$H64-$C64*(Impostos+TaxaCartao+Comissao))/$C64,""))</f>
        <v/>
      </c>
      <c r="L64" s="19" t="str">
        <f aca="false">IF(OR($A64="",$C64=""),"",$C64-$H64-$C64*(Impostos+TaxaCartao+Comissao))</f>
        <v/>
      </c>
      <c r="M64" s="19" t="str">
        <f aca="false">IF(OR($A64="",$C64="",NOT(ISNUMBER($I64))),"",$C64-$I64)</f>
        <v/>
      </c>
      <c r="N64" s="42" t="str">
        <f aca="false">IF(OR($A64="",$K64=""),"",IF($K64&gt;=MargemLiquidaDesejada,"🟢 Margem Saudável",IF($K64&gt;=MargemLiquidaDesejada*0.8,"🟡 Atenção","🔴 Abaixo da Meta")))</f>
        <v/>
      </c>
    </row>
    <row r="65" customFormat="false" ht="15" hidden="false" customHeight="true" outlineLevel="0" collapsed="false">
      <c r="A65" s="33"/>
      <c r="B65" s="33"/>
      <c r="C65" s="33"/>
      <c r="D65" s="40" t="str">
        <f aca="false">IF($A65="","",SUMIFS(FichaTecnica_QtdGML,FichaTecnica_Produto,$A65))</f>
        <v/>
      </c>
      <c r="E65" s="19" t="str">
        <f aca="false">IF($A65="","",SUMIFS(FichaTecnica_CustoTotal,FichaTecnica_Produto,$A65))</f>
        <v/>
      </c>
      <c r="F65" s="19" t="str">
        <f aca="false">IF($A65="","",IFERROR($E65/(1-Perdas),$E65))</f>
        <v/>
      </c>
      <c r="G65" s="41" t="str">
        <f aca="false">IF($A65="","",IFERROR(INDEX(Rateio_CustoFixoPorVendaLinha,MATCH(LojaSelecionada,Rateio_LojasHeader,0)),0))</f>
        <v/>
      </c>
      <c r="H65" s="19" t="str">
        <f aca="false">IF($A65="","",$F65+$G65)</f>
        <v/>
      </c>
      <c r="I65" s="19" t="str">
        <f aca="false">IF($A65="","",IFERROR($H65/(1-MargemLiquidaDesejada-Impostos-TaxaCartao-Comissao),"Ajustar parâmetros"))</f>
        <v/>
      </c>
      <c r="J65" s="20" t="str">
        <f aca="false">IF(OR($A65="",$C65=""),"",IFERROR($F65/$C65,""))</f>
        <v/>
      </c>
      <c r="K65" s="20" t="str">
        <f aca="false">IF(OR($A65="",$C65=""),"",IFERROR(($C65-$H65-$C65*(Impostos+TaxaCartao+Comissao))/$C65,""))</f>
        <v/>
      </c>
      <c r="L65" s="19" t="str">
        <f aca="false">IF(OR($A65="",$C65=""),"",$C65-$H65-$C65*(Impostos+TaxaCartao+Comissao))</f>
        <v/>
      </c>
      <c r="M65" s="19" t="str">
        <f aca="false">IF(OR($A65="",$C65="",NOT(ISNUMBER($I65))),"",$C65-$I65)</f>
        <v/>
      </c>
      <c r="N65" s="42" t="str">
        <f aca="false">IF(OR($A65="",$K65=""),"",IF($K65&gt;=MargemLiquidaDesejada,"🟢 Margem Saudável",IF($K65&gt;=MargemLiquidaDesejada*0.8,"🟡 Atenção","🔴 Abaixo da Meta")))</f>
        <v/>
      </c>
    </row>
    <row r="66" customFormat="false" ht="15" hidden="false" customHeight="true" outlineLevel="0" collapsed="false">
      <c r="A66" s="33"/>
      <c r="B66" s="33"/>
      <c r="C66" s="33"/>
      <c r="D66" s="40" t="str">
        <f aca="false">IF($A66="","",SUMIFS(FichaTecnica_QtdGML,FichaTecnica_Produto,$A66))</f>
        <v/>
      </c>
      <c r="E66" s="19" t="str">
        <f aca="false">IF($A66="","",SUMIFS(FichaTecnica_CustoTotal,FichaTecnica_Produto,$A66))</f>
        <v/>
      </c>
      <c r="F66" s="19" t="str">
        <f aca="false">IF($A66="","",IFERROR($E66/(1-Perdas),$E66))</f>
        <v/>
      </c>
      <c r="G66" s="41" t="str">
        <f aca="false">IF($A66="","",IFERROR(INDEX(Rateio_CustoFixoPorVendaLinha,MATCH(LojaSelecionada,Rateio_LojasHeader,0)),0))</f>
        <v/>
      </c>
      <c r="H66" s="19" t="str">
        <f aca="false">IF($A66="","",$F66+$G66)</f>
        <v/>
      </c>
      <c r="I66" s="19" t="str">
        <f aca="false">IF($A66="","",IFERROR($H66/(1-MargemLiquidaDesejada-Impostos-TaxaCartao-Comissao),"Ajustar parâmetros"))</f>
        <v/>
      </c>
      <c r="J66" s="20" t="str">
        <f aca="false">IF(OR($A66="",$C66=""),"",IFERROR($F66/$C66,""))</f>
        <v/>
      </c>
      <c r="K66" s="20" t="str">
        <f aca="false">IF(OR($A66="",$C66=""),"",IFERROR(($C66-$H66-$C66*(Impostos+TaxaCartao+Comissao))/$C66,""))</f>
        <v/>
      </c>
      <c r="L66" s="19" t="str">
        <f aca="false">IF(OR($A66="",$C66=""),"",$C66-$H66-$C66*(Impostos+TaxaCartao+Comissao))</f>
        <v/>
      </c>
      <c r="M66" s="19" t="str">
        <f aca="false">IF(OR($A66="",$C66="",NOT(ISNUMBER($I66))),"",$C66-$I66)</f>
        <v/>
      </c>
      <c r="N66" s="42" t="str">
        <f aca="false">IF(OR($A66="",$K66=""),"",IF($K66&gt;=MargemLiquidaDesejada,"🟢 Margem Saudável",IF($K66&gt;=MargemLiquidaDesejada*0.8,"🟡 Atenção","🔴 Abaixo da Meta")))</f>
        <v/>
      </c>
    </row>
    <row r="67" customFormat="false" ht="15" hidden="false" customHeight="true" outlineLevel="0" collapsed="false">
      <c r="A67" s="33"/>
      <c r="B67" s="33"/>
      <c r="C67" s="33"/>
      <c r="D67" s="40" t="str">
        <f aca="false">IF($A67="","",SUMIFS(FichaTecnica_QtdGML,FichaTecnica_Produto,$A67))</f>
        <v/>
      </c>
      <c r="E67" s="19" t="str">
        <f aca="false">IF($A67="","",SUMIFS(FichaTecnica_CustoTotal,FichaTecnica_Produto,$A67))</f>
        <v/>
      </c>
      <c r="F67" s="19" t="str">
        <f aca="false">IF($A67="","",IFERROR($E67/(1-Perdas),$E67))</f>
        <v/>
      </c>
      <c r="G67" s="41" t="str">
        <f aca="false">IF($A67="","",IFERROR(INDEX(Rateio_CustoFixoPorVendaLinha,MATCH(LojaSelecionada,Rateio_LojasHeader,0)),0))</f>
        <v/>
      </c>
      <c r="H67" s="19" t="str">
        <f aca="false">IF($A67="","",$F67+$G67)</f>
        <v/>
      </c>
      <c r="I67" s="19" t="str">
        <f aca="false">IF($A67="","",IFERROR($H67/(1-MargemLiquidaDesejada-Impostos-TaxaCartao-Comissao),"Ajustar parâmetros"))</f>
        <v/>
      </c>
      <c r="J67" s="20" t="str">
        <f aca="false">IF(OR($A67="",$C67=""),"",IFERROR($F67/$C67,""))</f>
        <v/>
      </c>
      <c r="K67" s="20" t="str">
        <f aca="false">IF(OR($A67="",$C67=""),"",IFERROR(($C67-$H67-$C67*(Impostos+TaxaCartao+Comissao))/$C67,""))</f>
        <v/>
      </c>
      <c r="L67" s="19" t="str">
        <f aca="false">IF(OR($A67="",$C67=""),"",$C67-$H67-$C67*(Impostos+TaxaCartao+Comissao))</f>
        <v/>
      </c>
      <c r="M67" s="19" t="str">
        <f aca="false">IF(OR($A67="",$C67="",NOT(ISNUMBER($I67))),"",$C67-$I67)</f>
        <v/>
      </c>
      <c r="N67" s="42" t="str">
        <f aca="false">IF(OR($A67="",$K67=""),"",IF($K67&gt;=MargemLiquidaDesejada,"🟢 Margem Saudável",IF($K67&gt;=MargemLiquidaDesejada*0.8,"🟡 Atenção","🔴 Abaixo da Meta")))</f>
        <v/>
      </c>
    </row>
    <row r="68" customFormat="false" ht="15" hidden="false" customHeight="true" outlineLevel="0" collapsed="false">
      <c r="A68" s="33"/>
      <c r="B68" s="33"/>
      <c r="C68" s="33"/>
      <c r="D68" s="40" t="str">
        <f aca="false">IF($A68="","",SUMIFS(FichaTecnica_QtdGML,FichaTecnica_Produto,$A68))</f>
        <v/>
      </c>
      <c r="E68" s="19" t="str">
        <f aca="false">IF($A68="","",SUMIFS(FichaTecnica_CustoTotal,FichaTecnica_Produto,$A68))</f>
        <v/>
      </c>
      <c r="F68" s="19" t="str">
        <f aca="false">IF($A68="","",IFERROR($E68/(1-Perdas),$E68))</f>
        <v/>
      </c>
      <c r="G68" s="41" t="str">
        <f aca="false">IF($A68="","",IFERROR(INDEX(Rateio_CustoFixoPorVendaLinha,MATCH(LojaSelecionada,Rateio_LojasHeader,0)),0))</f>
        <v/>
      </c>
      <c r="H68" s="19" t="str">
        <f aca="false">IF($A68="","",$F68+$G68)</f>
        <v/>
      </c>
      <c r="I68" s="19" t="str">
        <f aca="false">IF($A68="","",IFERROR($H68/(1-MargemLiquidaDesejada-Impostos-TaxaCartao-Comissao),"Ajustar parâmetros"))</f>
        <v/>
      </c>
      <c r="J68" s="20" t="str">
        <f aca="false">IF(OR($A68="",$C68=""),"",IFERROR($F68/$C68,""))</f>
        <v/>
      </c>
      <c r="K68" s="20" t="str">
        <f aca="false">IF(OR($A68="",$C68=""),"",IFERROR(($C68-$H68-$C68*(Impostos+TaxaCartao+Comissao))/$C68,""))</f>
        <v/>
      </c>
      <c r="L68" s="19" t="str">
        <f aca="false">IF(OR($A68="",$C68=""),"",$C68-$H68-$C68*(Impostos+TaxaCartao+Comissao))</f>
        <v/>
      </c>
      <c r="M68" s="19" t="str">
        <f aca="false">IF(OR($A68="",$C68="",NOT(ISNUMBER($I68))),"",$C68-$I68)</f>
        <v/>
      </c>
      <c r="N68" s="42" t="str">
        <f aca="false">IF(OR($A68="",$K68=""),"",IF($K68&gt;=MargemLiquidaDesejada,"🟢 Margem Saudável",IF($K68&gt;=MargemLiquidaDesejada*0.8,"🟡 Atenção","🔴 Abaixo da Meta")))</f>
        <v/>
      </c>
    </row>
    <row r="69" customFormat="false" ht="15" hidden="false" customHeight="true" outlineLevel="0" collapsed="false">
      <c r="A69" s="33"/>
      <c r="B69" s="33"/>
      <c r="C69" s="33"/>
      <c r="D69" s="40" t="str">
        <f aca="false">IF($A69="","",SUMIFS(FichaTecnica_QtdGML,FichaTecnica_Produto,$A69))</f>
        <v/>
      </c>
      <c r="E69" s="19" t="str">
        <f aca="false">IF($A69="","",SUMIFS(FichaTecnica_CustoTotal,FichaTecnica_Produto,$A69))</f>
        <v/>
      </c>
      <c r="F69" s="19" t="str">
        <f aca="false">IF($A69="","",IFERROR($E69/(1-Perdas),$E69))</f>
        <v/>
      </c>
      <c r="G69" s="41" t="str">
        <f aca="false">IF($A69="","",IFERROR(INDEX(Rateio_CustoFixoPorVendaLinha,MATCH(LojaSelecionada,Rateio_LojasHeader,0)),0))</f>
        <v/>
      </c>
      <c r="H69" s="19" t="str">
        <f aca="false">IF($A69="","",$F69+$G69)</f>
        <v/>
      </c>
      <c r="I69" s="19" t="str">
        <f aca="false">IF($A69="","",IFERROR($H69/(1-MargemLiquidaDesejada-Impostos-TaxaCartao-Comissao),"Ajustar parâmetros"))</f>
        <v/>
      </c>
      <c r="J69" s="20" t="str">
        <f aca="false">IF(OR($A69="",$C69=""),"",IFERROR($F69/$C69,""))</f>
        <v/>
      </c>
      <c r="K69" s="20" t="str">
        <f aca="false">IF(OR($A69="",$C69=""),"",IFERROR(($C69-$H69-$C69*(Impostos+TaxaCartao+Comissao))/$C69,""))</f>
        <v/>
      </c>
      <c r="L69" s="19" t="str">
        <f aca="false">IF(OR($A69="",$C69=""),"",$C69-$H69-$C69*(Impostos+TaxaCartao+Comissao))</f>
        <v/>
      </c>
      <c r="M69" s="19" t="str">
        <f aca="false">IF(OR($A69="",$C69="",NOT(ISNUMBER($I69))),"",$C69-$I69)</f>
        <v/>
      </c>
      <c r="N69" s="42" t="str">
        <f aca="false">IF(OR($A69="",$K69=""),"",IF($K69&gt;=MargemLiquidaDesejada,"🟢 Margem Saudável",IF($K69&gt;=MargemLiquidaDesejada*0.8,"🟡 Atenção","🔴 Abaixo da Meta")))</f>
        <v/>
      </c>
    </row>
    <row r="70" customFormat="false" ht="15" hidden="false" customHeight="true" outlineLevel="0" collapsed="false">
      <c r="A70" s="33"/>
      <c r="B70" s="33"/>
      <c r="C70" s="33"/>
      <c r="D70" s="40" t="str">
        <f aca="false">IF($A70="","",SUMIFS(FichaTecnica_QtdGML,FichaTecnica_Produto,$A70))</f>
        <v/>
      </c>
      <c r="E70" s="19" t="str">
        <f aca="false">IF($A70="","",SUMIFS(FichaTecnica_CustoTotal,FichaTecnica_Produto,$A70))</f>
        <v/>
      </c>
      <c r="F70" s="19" t="str">
        <f aca="false">IF($A70="","",IFERROR($E70/(1-Perdas),$E70))</f>
        <v/>
      </c>
      <c r="G70" s="41" t="str">
        <f aca="false">IF($A70="","",IFERROR(INDEX(Rateio_CustoFixoPorVendaLinha,MATCH(LojaSelecionada,Rateio_LojasHeader,0)),0))</f>
        <v/>
      </c>
      <c r="H70" s="19" t="str">
        <f aca="false">IF($A70="","",$F70+$G70)</f>
        <v/>
      </c>
      <c r="I70" s="19" t="str">
        <f aca="false">IF($A70="","",IFERROR($H70/(1-MargemLiquidaDesejada-Impostos-TaxaCartao-Comissao),"Ajustar parâmetros"))</f>
        <v/>
      </c>
      <c r="J70" s="20" t="str">
        <f aca="false">IF(OR($A70="",$C70=""),"",IFERROR($F70/$C70,""))</f>
        <v/>
      </c>
      <c r="K70" s="20" t="str">
        <f aca="false">IF(OR($A70="",$C70=""),"",IFERROR(($C70-$H70-$C70*(Impostos+TaxaCartao+Comissao))/$C70,""))</f>
        <v/>
      </c>
      <c r="L70" s="19" t="str">
        <f aca="false">IF(OR($A70="",$C70=""),"",$C70-$H70-$C70*(Impostos+TaxaCartao+Comissao))</f>
        <v/>
      </c>
      <c r="M70" s="19" t="str">
        <f aca="false">IF(OR($A70="",$C70="",NOT(ISNUMBER($I70))),"",$C70-$I70)</f>
        <v/>
      </c>
      <c r="N70" s="42" t="str">
        <f aca="false">IF(OR($A70="",$K70=""),"",IF($K70&gt;=MargemLiquidaDesejada,"🟢 Margem Saudável",IF($K70&gt;=MargemLiquidaDesejada*0.8,"🟡 Atenção","🔴 Abaixo da Meta")))</f>
        <v/>
      </c>
    </row>
    <row r="71" customFormat="false" ht="15" hidden="false" customHeight="true" outlineLevel="0" collapsed="false">
      <c r="A71" s="33"/>
      <c r="B71" s="33"/>
      <c r="C71" s="33"/>
      <c r="D71" s="40" t="str">
        <f aca="false">IF($A71="","",SUMIFS(FichaTecnica_QtdGML,FichaTecnica_Produto,$A71))</f>
        <v/>
      </c>
      <c r="E71" s="19" t="str">
        <f aca="false">IF($A71="","",SUMIFS(FichaTecnica_CustoTotal,FichaTecnica_Produto,$A71))</f>
        <v/>
      </c>
      <c r="F71" s="19" t="str">
        <f aca="false">IF($A71="","",IFERROR($E71/(1-Perdas),$E71))</f>
        <v/>
      </c>
      <c r="G71" s="41" t="str">
        <f aca="false">IF($A71="","",IFERROR(INDEX(Rateio_CustoFixoPorVendaLinha,MATCH(LojaSelecionada,Rateio_LojasHeader,0)),0))</f>
        <v/>
      </c>
      <c r="H71" s="19" t="str">
        <f aca="false">IF($A71="","",$F71+$G71)</f>
        <v/>
      </c>
      <c r="I71" s="19" t="str">
        <f aca="false">IF($A71="","",IFERROR($H71/(1-MargemLiquidaDesejada-Impostos-TaxaCartao-Comissao),"Ajustar parâmetros"))</f>
        <v/>
      </c>
      <c r="J71" s="20" t="str">
        <f aca="false">IF(OR($A71="",$C71=""),"",IFERROR($F71/$C71,""))</f>
        <v/>
      </c>
      <c r="K71" s="20" t="str">
        <f aca="false">IF(OR($A71="",$C71=""),"",IFERROR(($C71-$H71-$C71*(Impostos+TaxaCartao+Comissao))/$C71,""))</f>
        <v/>
      </c>
      <c r="L71" s="19" t="str">
        <f aca="false">IF(OR($A71="",$C71=""),"",$C71-$H71-$C71*(Impostos+TaxaCartao+Comissao))</f>
        <v/>
      </c>
      <c r="M71" s="19" t="str">
        <f aca="false">IF(OR($A71="",$C71="",NOT(ISNUMBER($I71))),"",$C71-$I71)</f>
        <v/>
      </c>
      <c r="N71" s="42" t="str">
        <f aca="false">IF(OR($A71="",$K71=""),"",IF($K71&gt;=MargemLiquidaDesejada,"🟢 Margem Saudável",IF($K71&gt;=MargemLiquidaDesejada*0.8,"🟡 Atenção","🔴 Abaixo da Meta")))</f>
        <v/>
      </c>
    </row>
    <row r="72" customFormat="false" ht="15" hidden="false" customHeight="true" outlineLevel="0" collapsed="false">
      <c r="A72" s="33"/>
      <c r="B72" s="33"/>
      <c r="C72" s="33"/>
      <c r="D72" s="40" t="str">
        <f aca="false">IF($A72="","",SUMIFS(FichaTecnica_QtdGML,FichaTecnica_Produto,$A72))</f>
        <v/>
      </c>
      <c r="E72" s="19" t="str">
        <f aca="false">IF($A72="","",SUMIFS(FichaTecnica_CustoTotal,FichaTecnica_Produto,$A72))</f>
        <v/>
      </c>
      <c r="F72" s="19" t="str">
        <f aca="false">IF($A72="","",IFERROR($E72/(1-Perdas),$E72))</f>
        <v/>
      </c>
      <c r="G72" s="41" t="str">
        <f aca="false">IF($A72="","",IFERROR(INDEX(Rateio_CustoFixoPorVendaLinha,MATCH(LojaSelecionada,Rateio_LojasHeader,0)),0))</f>
        <v/>
      </c>
      <c r="H72" s="19" t="str">
        <f aca="false">IF($A72="","",$F72+$G72)</f>
        <v/>
      </c>
      <c r="I72" s="19" t="str">
        <f aca="false">IF($A72="","",IFERROR($H72/(1-MargemLiquidaDesejada-Impostos-TaxaCartao-Comissao),"Ajustar parâmetros"))</f>
        <v/>
      </c>
      <c r="J72" s="20" t="str">
        <f aca="false">IF(OR($A72="",$C72=""),"",IFERROR($F72/$C72,""))</f>
        <v/>
      </c>
      <c r="K72" s="20" t="str">
        <f aca="false">IF(OR($A72="",$C72=""),"",IFERROR(($C72-$H72-$C72*(Impostos+TaxaCartao+Comissao))/$C72,""))</f>
        <v/>
      </c>
      <c r="L72" s="19" t="str">
        <f aca="false">IF(OR($A72="",$C72=""),"",$C72-$H72-$C72*(Impostos+TaxaCartao+Comissao))</f>
        <v/>
      </c>
      <c r="M72" s="19" t="str">
        <f aca="false">IF(OR($A72="",$C72="",NOT(ISNUMBER($I72))),"",$C72-$I72)</f>
        <v/>
      </c>
      <c r="N72" s="42" t="str">
        <f aca="false">IF(OR($A72="",$K72=""),"",IF($K72&gt;=MargemLiquidaDesejada,"🟢 Margem Saudável",IF($K72&gt;=MargemLiquidaDesejada*0.8,"🟡 Atenção","🔴 Abaixo da Meta")))</f>
        <v/>
      </c>
    </row>
    <row r="73" customFormat="false" ht="15" hidden="false" customHeight="true" outlineLevel="0" collapsed="false">
      <c r="A73" s="33"/>
      <c r="B73" s="33"/>
      <c r="C73" s="33"/>
      <c r="D73" s="40" t="str">
        <f aca="false">IF($A73="","",SUMIFS(FichaTecnica_QtdGML,FichaTecnica_Produto,$A73))</f>
        <v/>
      </c>
      <c r="E73" s="19" t="str">
        <f aca="false">IF($A73="","",SUMIFS(FichaTecnica_CustoTotal,FichaTecnica_Produto,$A73))</f>
        <v/>
      </c>
      <c r="F73" s="19" t="str">
        <f aca="false">IF($A73="","",IFERROR($E73/(1-Perdas),$E73))</f>
        <v/>
      </c>
      <c r="G73" s="41" t="str">
        <f aca="false">IF($A73="","",IFERROR(INDEX(Rateio_CustoFixoPorVendaLinha,MATCH(LojaSelecionada,Rateio_LojasHeader,0)),0))</f>
        <v/>
      </c>
      <c r="H73" s="19" t="str">
        <f aca="false">IF($A73="","",$F73+$G73)</f>
        <v/>
      </c>
      <c r="I73" s="19" t="str">
        <f aca="false">IF($A73="","",IFERROR($H73/(1-MargemLiquidaDesejada-Impostos-TaxaCartao-Comissao),"Ajustar parâmetros"))</f>
        <v/>
      </c>
      <c r="J73" s="20" t="str">
        <f aca="false">IF(OR($A73="",$C73=""),"",IFERROR($F73/$C73,""))</f>
        <v/>
      </c>
      <c r="K73" s="20" t="str">
        <f aca="false">IF(OR($A73="",$C73=""),"",IFERROR(($C73-$H73-$C73*(Impostos+TaxaCartao+Comissao))/$C73,""))</f>
        <v/>
      </c>
      <c r="L73" s="19" t="str">
        <f aca="false">IF(OR($A73="",$C73=""),"",$C73-$H73-$C73*(Impostos+TaxaCartao+Comissao))</f>
        <v/>
      </c>
      <c r="M73" s="19" t="str">
        <f aca="false">IF(OR($A73="",$C73="",NOT(ISNUMBER($I73))),"",$C73-$I73)</f>
        <v/>
      </c>
      <c r="N73" s="42" t="str">
        <f aca="false">IF(OR($A73="",$K73=""),"",IF($K73&gt;=MargemLiquidaDesejada,"🟢 Margem Saudável",IF($K73&gt;=MargemLiquidaDesejada*0.8,"🟡 Atenção","🔴 Abaixo da Meta")))</f>
        <v/>
      </c>
    </row>
    <row r="74" customFormat="false" ht="15" hidden="false" customHeight="true" outlineLevel="0" collapsed="false">
      <c r="A74" s="33"/>
      <c r="B74" s="33"/>
      <c r="C74" s="33"/>
      <c r="D74" s="40" t="str">
        <f aca="false">IF($A74="","",SUMIFS(FichaTecnica_QtdGML,FichaTecnica_Produto,$A74))</f>
        <v/>
      </c>
      <c r="E74" s="19" t="str">
        <f aca="false">IF($A74="","",SUMIFS(FichaTecnica_CustoTotal,FichaTecnica_Produto,$A74))</f>
        <v/>
      </c>
      <c r="F74" s="19" t="str">
        <f aca="false">IF($A74="","",IFERROR($E74/(1-Perdas),$E74))</f>
        <v/>
      </c>
      <c r="G74" s="41" t="str">
        <f aca="false">IF($A74="","",IFERROR(INDEX(Rateio_CustoFixoPorVendaLinha,MATCH(LojaSelecionada,Rateio_LojasHeader,0)),0))</f>
        <v/>
      </c>
      <c r="H74" s="19" t="str">
        <f aca="false">IF($A74="","",$F74+$G74)</f>
        <v/>
      </c>
      <c r="I74" s="19" t="str">
        <f aca="false">IF($A74="","",IFERROR($H74/(1-MargemLiquidaDesejada-Impostos-TaxaCartao-Comissao),"Ajustar parâmetros"))</f>
        <v/>
      </c>
      <c r="J74" s="20" t="str">
        <f aca="false">IF(OR($A74="",$C74=""),"",IFERROR($F74/$C74,""))</f>
        <v/>
      </c>
      <c r="K74" s="20" t="str">
        <f aca="false">IF(OR($A74="",$C74=""),"",IFERROR(($C74-$H74-$C74*(Impostos+TaxaCartao+Comissao))/$C74,""))</f>
        <v/>
      </c>
      <c r="L74" s="19" t="str">
        <f aca="false">IF(OR($A74="",$C74=""),"",$C74-$H74-$C74*(Impostos+TaxaCartao+Comissao))</f>
        <v/>
      </c>
      <c r="M74" s="19" t="str">
        <f aca="false">IF(OR($A74="",$C74="",NOT(ISNUMBER($I74))),"",$C74-$I74)</f>
        <v/>
      </c>
      <c r="N74" s="42" t="str">
        <f aca="false">IF(OR($A74="",$K74=""),"",IF($K74&gt;=MargemLiquidaDesejada,"🟢 Margem Saudável",IF($K74&gt;=MargemLiquidaDesejada*0.8,"🟡 Atenção","🔴 Abaixo da Meta")))</f>
        <v/>
      </c>
    </row>
    <row r="75" customFormat="false" ht="15" hidden="false" customHeight="true" outlineLevel="0" collapsed="false">
      <c r="A75" s="33"/>
      <c r="B75" s="33"/>
      <c r="C75" s="33"/>
      <c r="D75" s="40" t="str">
        <f aca="false">IF($A75="","",SUMIFS(FichaTecnica_QtdGML,FichaTecnica_Produto,$A75))</f>
        <v/>
      </c>
      <c r="E75" s="19" t="str">
        <f aca="false">IF($A75="","",SUMIFS(FichaTecnica_CustoTotal,FichaTecnica_Produto,$A75))</f>
        <v/>
      </c>
      <c r="F75" s="19" t="str">
        <f aca="false">IF($A75="","",IFERROR($E75/(1-Perdas),$E75))</f>
        <v/>
      </c>
      <c r="G75" s="41" t="str">
        <f aca="false">IF($A75="","",IFERROR(INDEX(Rateio_CustoFixoPorVendaLinha,MATCH(LojaSelecionada,Rateio_LojasHeader,0)),0))</f>
        <v/>
      </c>
      <c r="H75" s="19" t="str">
        <f aca="false">IF($A75="","",$F75+$G75)</f>
        <v/>
      </c>
      <c r="I75" s="19" t="str">
        <f aca="false">IF($A75="","",IFERROR($H75/(1-MargemLiquidaDesejada-Impostos-TaxaCartao-Comissao),"Ajustar parâmetros"))</f>
        <v/>
      </c>
      <c r="J75" s="20" t="str">
        <f aca="false">IF(OR($A75="",$C75=""),"",IFERROR($F75/$C75,""))</f>
        <v/>
      </c>
      <c r="K75" s="20" t="str">
        <f aca="false">IF(OR($A75="",$C75=""),"",IFERROR(($C75-$H75-$C75*(Impostos+TaxaCartao+Comissao))/$C75,""))</f>
        <v/>
      </c>
      <c r="L75" s="19" t="str">
        <f aca="false">IF(OR($A75="",$C75=""),"",$C75-$H75-$C75*(Impostos+TaxaCartao+Comissao))</f>
        <v/>
      </c>
      <c r="M75" s="19" t="str">
        <f aca="false">IF(OR($A75="",$C75="",NOT(ISNUMBER($I75))),"",$C75-$I75)</f>
        <v/>
      </c>
      <c r="N75" s="42" t="str">
        <f aca="false">IF(OR($A75="",$K75=""),"",IF($K75&gt;=MargemLiquidaDesejada,"🟢 Margem Saudável",IF($K75&gt;=MargemLiquidaDesejada*0.8,"🟡 Atenção","🔴 Abaixo da Meta")))</f>
        <v/>
      </c>
    </row>
    <row r="76" customFormat="false" ht="15" hidden="false" customHeight="true" outlineLevel="0" collapsed="false">
      <c r="A76" s="33"/>
      <c r="B76" s="33"/>
      <c r="C76" s="33"/>
      <c r="D76" s="40" t="str">
        <f aca="false">IF($A76="","",SUMIFS(FichaTecnica_QtdGML,FichaTecnica_Produto,$A76))</f>
        <v/>
      </c>
      <c r="E76" s="19" t="str">
        <f aca="false">IF($A76="","",SUMIFS(FichaTecnica_CustoTotal,FichaTecnica_Produto,$A76))</f>
        <v/>
      </c>
      <c r="F76" s="19" t="str">
        <f aca="false">IF($A76="","",IFERROR($E76/(1-Perdas),$E76))</f>
        <v/>
      </c>
      <c r="G76" s="41" t="str">
        <f aca="false">IF($A76="","",IFERROR(INDEX(Rateio_CustoFixoPorVendaLinha,MATCH(LojaSelecionada,Rateio_LojasHeader,0)),0))</f>
        <v/>
      </c>
      <c r="H76" s="19" t="str">
        <f aca="false">IF($A76="","",$F76+$G76)</f>
        <v/>
      </c>
      <c r="I76" s="19" t="str">
        <f aca="false">IF($A76="","",IFERROR($H76/(1-MargemLiquidaDesejada-Impostos-TaxaCartao-Comissao),"Ajustar parâmetros"))</f>
        <v/>
      </c>
      <c r="J76" s="20" t="str">
        <f aca="false">IF(OR($A76="",$C76=""),"",IFERROR($F76/$C76,""))</f>
        <v/>
      </c>
      <c r="K76" s="20" t="str">
        <f aca="false">IF(OR($A76="",$C76=""),"",IFERROR(($C76-$H76-$C76*(Impostos+TaxaCartao+Comissao))/$C76,""))</f>
        <v/>
      </c>
      <c r="L76" s="19" t="str">
        <f aca="false">IF(OR($A76="",$C76=""),"",$C76-$H76-$C76*(Impostos+TaxaCartao+Comissao))</f>
        <v/>
      </c>
      <c r="M76" s="19" t="str">
        <f aca="false">IF(OR($A76="",$C76="",NOT(ISNUMBER($I76))),"",$C76-$I76)</f>
        <v/>
      </c>
      <c r="N76" s="42" t="str">
        <f aca="false">IF(OR($A76="",$K76=""),"",IF($K76&gt;=MargemLiquidaDesejada,"🟢 Margem Saudável",IF($K76&gt;=MargemLiquidaDesejada*0.8,"🟡 Atenção","🔴 Abaixo da Meta")))</f>
        <v/>
      </c>
    </row>
    <row r="77" customFormat="false" ht="15" hidden="false" customHeight="true" outlineLevel="0" collapsed="false">
      <c r="A77" s="33"/>
      <c r="B77" s="33"/>
      <c r="C77" s="33"/>
      <c r="D77" s="40" t="str">
        <f aca="false">IF($A77="","",SUMIFS(FichaTecnica_QtdGML,FichaTecnica_Produto,$A77))</f>
        <v/>
      </c>
      <c r="E77" s="19" t="str">
        <f aca="false">IF($A77="","",SUMIFS(FichaTecnica_CustoTotal,FichaTecnica_Produto,$A77))</f>
        <v/>
      </c>
      <c r="F77" s="19" t="str">
        <f aca="false">IF($A77="","",IFERROR($E77/(1-Perdas),$E77))</f>
        <v/>
      </c>
      <c r="G77" s="41" t="str">
        <f aca="false">IF($A77="","",IFERROR(INDEX(Rateio_CustoFixoPorVendaLinha,MATCH(LojaSelecionada,Rateio_LojasHeader,0)),0))</f>
        <v/>
      </c>
      <c r="H77" s="19" t="str">
        <f aca="false">IF($A77="","",$F77+$G77)</f>
        <v/>
      </c>
      <c r="I77" s="19" t="str">
        <f aca="false">IF($A77="","",IFERROR($H77/(1-MargemLiquidaDesejada-Impostos-TaxaCartao-Comissao),"Ajustar parâmetros"))</f>
        <v/>
      </c>
      <c r="J77" s="20" t="str">
        <f aca="false">IF(OR($A77="",$C77=""),"",IFERROR($F77/$C77,""))</f>
        <v/>
      </c>
      <c r="K77" s="20" t="str">
        <f aca="false">IF(OR($A77="",$C77=""),"",IFERROR(($C77-$H77-$C77*(Impostos+TaxaCartao+Comissao))/$C77,""))</f>
        <v/>
      </c>
      <c r="L77" s="19" t="str">
        <f aca="false">IF(OR($A77="",$C77=""),"",$C77-$H77-$C77*(Impostos+TaxaCartao+Comissao))</f>
        <v/>
      </c>
      <c r="M77" s="19" t="str">
        <f aca="false">IF(OR($A77="",$C77="",NOT(ISNUMBER($I77))),"",$C77-$I77)</f>
        <v/>
      </c>
      <c r="N77" s="42" t="str">
        <f aca="false">IF(OR($A77="",$K77=""),"",IF($K77&gt;=MargemLiquidaDesejada,"🟢 Margem Saudável",IF($K77&gt;=MargemLiquidaDesejada*0.8,"🟡 Atenção","🔴 Abaixo da Meta")))</f>
        <v/>
      </c>
    </row>
    <row r="78" customFormat="false" ht="15" hidden="false" customHeight="true" outlineLevel="0" collapsed="false">
      <c r="A78" s="33"/>
      <c r="B78" s="33"/>
      <c r="C78" s="33"/>
      <c r="D78" s="40" t="str">
        <f aca="false">IF($A78="","",SUMIFS(FichaTecnica_QtdGML,FichaTecnica_Produto,$A78))</f>
        <v/>
      </c>
      <c r="E78" s="19" t="str">
        <f aca="false">IF($A78="","",SUMIFS(FichaTecnica_CustoTotal,FichaTecnica_Produto,$A78))</f>
        <v/>
      </c>
      <c r="F78" s="19" t="str">
        <f aca="false">IF($A78="","",IFERROR($E78/(1-Perdas),$E78))</f>
        <v/>
      </c>
      <c r="G78" s="41" t="str">
        <f aca="false">IF($A78="","",IFERROR(INDEX(Rateio_CustoFixoPorVendaLinha,MATCH(LojaSelecionada,Rateio_LojasHeader,0)),0))</f>
        <v/>
      </c>
      <c r="H78" s="19" t="str">
        <f aca="false">IF($A78="","",$F78+$G78)</f>
        <v/>
      </c>
      <c r="I78" s="19" t="str">
        <f aca="false">IF($A78="","",IFERROR($H78/(1-MargemLiquidaDesejada-Impostos-TaxaCartao-Comissao),"Ajustar parâmetros"))</f>
        <v/>
      </c>
      <c r="J78" s="20" t="str">
        <f aca="false">IF(OR($A78="",$C78=""),"",IFERROR($F78/$C78,""))</f>
        <v/>
      </c>
      <c r="K78" s="20" t="str">
        <f aca="false">IF(OR($A78="",$C78=""),"",IFERROR(($C78-$H78-$C78*(Impostos+TaxaCartao+Comissao))/$C78,""))</f>
        <v/>
      </c>
      <c r="L78" s="19" t="str">
        <f aca="false">IF(OR($A78="",$C78=""),"",$C78-$H78-$C78*(Impostos+TaxaCartao+Comissao))</f>
        <v/>
      </c>
      <c r="M78" s="19" t="str">
        <f aca="false">IF(OR($A78="",$C78="",NOT(ISNUMBER($I78))),"",$C78-$I78)</f>
        <v/>
      </c>
      <c r="N78" s="42" t="str">
        <f aca="false">IF(OR($A78="",$K78=""),"",IF($K78&gt;=MargemLiquidaDesejada,"🟢 Margem Saudável",IF($K78&gt;=MargemLiquidaDesejada*0.8,"🟡 Atenção","🔴 Abaixo da Meta")))</f>
        <v/>
      </c>
    </row>
    <row r="79" customFormat="false" ht="15" hidden="false" customHeight="true" outlineLevel="0" collapsed="false">
      <c r="A79" s="33"/>
      <c r="B79" s="33"/>
      <c r="C79" s="33"/>
      <c r="D79" s="40" t="str">
        <f aca="false">IF($A79="","",SUMIFS(FichaTecnica_QtdGML,FichaTecnica_Produto,$A79))</f>
        <v/>
      </c>
      <c r="E79" s="19" t="str">
        <f aca="false">IF($A79="","",SUMIFS(FichaTecnica_CustoTotal,FichaTecnica_Produto,$A79))</f>
        <v/>
      </c>
      <c r="F79" s="19" t="str">
        <f aca="false">IF($A79="","",IFERROR($E79/(1-Perdas),$E79))</f>
        <v/>
      </c>
      <c r="G79" s="41" t="str">
        <f aca="false">IF($A79="","",IFERROR(INDEX(Rateio_CustoFixoPorVendaLinha,MATCH(LojaSelecionada,Rateio_LojasHeader,0)),0))</f>
        <v/>
      </c>
      <c r="H79" s="19" t="str">
        <f aca="false">IF($A79="","",$F79+$G79)</f>
        <v/>
      </c>
      <c r="I79" s="19" t="str">
        <f aca="false">IF($A79="","",IFERROR($H79/(1-MargemLiquidaDesejada-Impostos-TaxaCartao-Comissao),"Ajustar parâmetros"))</f>
        <v/>
      </c>
      <c r="J79" s="20" t="str">
        <f aca="false">IF(OR($A79="",$C79=""),"",IFERROR($F79/$C79,""))</f>
        <v/>
      </c>
      <c r="K79" s="20" t="str">
        <f aca="false">IF(OR($A79="",$C79=""),"",IFERROR(($C79-$H79-$C79*(Impostos+TaxaCartao+Comissao))/$C79,""))</f>
        <v/>
      </c>
      <c r="L79" s="19" t="str">
        <f aca="false">IF(OR($A79="",$C79=""),"",$C79-$H79-$C79*(Impostos+TaxaCartao+Comissao))</f>
        <v/>
      </c>
      <c r="M79" s="19" t="str">
        <f aca="false">IF(OR($A79="",$C79="",NOT(ISNUMBER($I79))),"",$C79-$I79)</f>
        <v/>
      </c>
      <c r="N79" s="42" t="str">
        <f aca="false">IF(OR($A79="",$K79=""),"",IF($K79&gt;=MargemLiquidaDesejada,"🟢 Margem Saudável",IF($K79&gt;=MargemLiquidaDesejada*0.8,"🟡 Atenção","🔴 Abaixo da Meta")))</f>
        <v/>
      </c>
    </row>
    <row r="80" customFormat="false" ht="15" hidden="false" customHeight="true" outlineLevel="0" collapsed="false">
      <c r="A80" s="33"/>
      <c r="B80" s="33"/>
      <c r="C80" s="33"/>
      <c r="D80" s="40" t="str">
        <f aca="false">IF($A80="","",SUMIFS(FichaTecnica_QtdGML,FichaTecnica_Produto,$A80))</f>
        <v/>
      </c>
      <c r="E80" s="19" t="str">
        <f aca="false">IF($A80="","",SUMIFS(FichaTecnica_CustoTotal,FichaTecnica_Produto,$A80))</f>
        <v/>
      </c>
      <c r="F80" s="19" t="str">
        <f aca="false">IF($A80="","",IFERROR($E80/(1-Perdas),$E80))</f>
        <v/>
      </c>
      <c r="G80" s="41" t="str">
        <f aca="false">IF($A80="","",IFERROR(INDEX(Rateio_CustoFixoPorVendaLinha,MATCH(LojaSelecionada,Rateio_LojasHeader,0)),0))</f>
        <v/>
      </c>
      <c r="H80" s="19" t="str">
        <f aca="false">IF($A80="","",$F80+$G80)</f>
        <v/>
      </c>
      <c r="I80" s="19" t="str">
        <f aca="false">IF($A80="","",IFERROR($H80/(1-MargemLiquidaDesejada-Impostos-TaxaCartao-Comissao),"Ajustar parâmetros"))</f>
        <v/>
      </c>
      <c r="J80" s="20" t="str">
        <f aca="false">IF(OR($A80="",$C80=""),"",IFERROR($F80/$C80,""))</f>
        <v/>
      </c>
      <c r="K80" s="20" t="str">
        <f aca="false">IF(OR($A80="",$C80=""),"",IFERROR(($C80-$H80-$C80*(Impostos+TaxaCartao+Comissao))/$C80,""))</f>
        <v/>
      </c>
      <c r="L80" s="19" t="str">
        <f aca="false">IF(OR($A80="",$C80=""),"",$C80-$H80-$C80*(Impostos+TaxaCartao+Comissao))</f>
        <v/>
      </c>
      <c r="M80" s="19" t="str">
        <f aca="false">IF(OR($A80="",$C80="",NOT(ISNUMBER($I80))),"",$C80-$I80)</f>
        <v/>
      </c>
      <c r="N80" s="42" t="str">
        <f aca="false">IF(OR($A80="",$K80=""),"",IF($K80&gt;=MargemLiquidaDesejada,"🟢 Margem Saudável",IF($K80&gt;=MargemLiquidaDesejada*0.8,"🟡 Atenção","🔴 Abaixo da Meta")))</f>
        <v/>
      </c>
    </row>
    <row r="81" customFormat="false" ht="15" hidden="false" customHeight="true" outlineLevel="0" collapsed="false">
      <c r="A81" s="33"/>
      <c r="B81" s="33"/>
      <c r="C81" s="33"/>
      <c r="D81" s="40" t="str">
        <f aca="false">IF($A81="","",SUMIFS(FichaTecnica_QtdGML,FichaTecnica_Produto,$A81))</f>
        <v/>
      </c>
      <c r="E81" s="19" t="str">
        <f aca="false">IF($A81="","",SUMIFS(FichaTecnica_CustoTotal,FichaTecnica_Produto,$A81))</f>
        <v/>
      </c>
      <c r="F81" s="19" t="str">
        <f aca="false">IF($A81="","",IFERROR($E81/(1-Perdas),$E81))</f>
        <v/>
      </c>
      <c r="G81" s="41" t="str">
        <f aca="false">IF($A81="","",IFERROR(INDEX(Rateio_CustoFixoPorVendaLinha,MATCH(LojaSelecionada,Rateio_LojasHeader,0)),0))</f>
        <v/>
      </c>
      <c r="H81" s="19" t="str">
        <f aca="false">IF($A81="","",$F81+$G81)</f>
        <v/>
      </c>
      <c r="I81" s="19" t="str">
        <f aca="false">IF($A81="","",IFERROR($H81/(1-MargemLiquidaDesejada-Impostos-TaxaCartao-Comissao),"Ajustar parâmetros"))</f>
        <v/>
      </c>
      <c r="J81" s="20" t="str">
        <f aca="false">IF(OR($A81="",$C81=""),"",IFERROR($F81/$C81,""))</f>
        <v/>
      </c>
      <c r="K81" s="20" t="str">
        <f aca="false">IF(OR($A81="",$C81=""),"",IFERROR(($C81-$H81-$C81*(Impostos+TaxaCartao+Comissao))/$C81,""))</f>
        <v/>
      </c>
      <c r="L81" s="19" t="str">
        <f aca="false">IF(OR($A81="",$C81=""),"",$C81-$H81-$C81*(Impostos+TaxaCartao+Comissao))</f>
        <v/>
      </c>
      <c r="M81" s="19" t="str">
        <f aca="false">IF(OR($A81="",$C81="",NOT(ISNUMBER($I81))),"",$C81-$I81)</f>
        <v/>
      </c>
      <c r="N81" s="42" t="str">
        <f aca="false">IF(OR($A81="",$K81=""),"",IF($K81&gt;=MargemLiquidaDesejada,"🟢 Margem Saudável",IF($K81&gt;=MargemLiquidaDesejada*0.8,"🟡 Atenção","🔴 Abaixo da Meta")))</f>
        <v/>
      </c>
    </row>
    <row r="82" customFormat="false" ht="15" hidden="false" customHeight="true" outlineLevel="0" collapsed="false">
      <c r="A82" s="33"/>
      <c r="B82" s="33"/>
      <c r="C82" s="33"/>
      <c r="D82" s="40" t="str">
        <f aca="false">IF($A82="","",SUMIFS(FichaTecnica_QtdGML,FichaTecnica_Produto,$A82))</f>
        <v/>
      </c>
      <c r="E82" s="19" t="str">
        <f aca="false">IF($A82="","",SUMIFS(FichaTecnica_CustoTotal,FichaTecnica_Produto,$A82))</f>
        <v/>
      </c>
      <c r="F82" s="19" t="str">
        <f aca="false">IF($A82="","",IFERROR($E82/(1-Perdas),$E82))</f>
        <v/>
      </c>
      <c r="G82" s="41" t="str">
        <f aca="false">IF($A82="","",IFERROR(INDEX(Rateio_CustoFixoPorVendaLinha,MATCH(LojaSelecionada,Rateio_LojasHeader,0)),0))</f>
        <v/>
      </c>
      <c r="H82" s="19" t="str">
        <f aca="false">IF($A82="","",$F82+$G82)</f>
        <v/>
      </c>
      <c r="I82" s="19" t="str">
        <f aca="false">IF($A82="","",IFERROR($H82/(1-MargemLiquidaDesejada-Impostos-TaxaCartao-Comissao),"Ajustar parâmetros"))</f>
        <v/>
      </c>
      <c r="J82" s="20" t="str">
        <f aca="false">IF(OR($A82="",$C82=""),"",IFERROR($F82/$C82,""))</f>
        <v/>
      </c>
      <c r="K82" s="20" t="str">
        <f aca="false">IF(OR($A82="",$C82=""),"",IFERROR(($C82-$H82-$C82*(Impostos+TaxaCartao+Comissao))/$C82,""))</f>
        <v/>
      </c>
      <c r="L82" s="19" t="str">
        <f aca="false">IF(OR($A82="",$C82=""),"",$C82-$H82-$C82*(Impostos+TaxaCartao+Comissao))</f>
        <v/>
      </c>
      <c r="M82" s="19" t="str">
        <f aca="false">IF(OR($A82="",$C82="",NOT(ISNUMBER($I82))),"",$C82-$I82)</f>
        <v/>
      </c>
      <c r="N82" s="42" t="str">
        <f aca="false">IF(OR($A82="",$K82=""),"",IF($K82&gt;=MargemLiquidaDesejada,"🟢 Margem Saudável",IF($K82&gt;=MargemLiquidaDesejada*0.8,"🟡 Atenção","🔴 Abaixo da Meta")))</f>
        <v/>
      </c>
    </row>
    <row r="83" customFormat="false" ht="15" hidden="false" customHeight="true" outlineLevel="0" collapsed="false">
      <c r="A83" s="33"/>
      <c r="B83" s="33"/>
      <c r="C83" s="33"/>
      <c r="D83" s="40" t="str">
        <f aca="false">IF($A83="","",SUMIFS(FichaTecnica_QtdGML,FichaTecnica_Produto,$A83))</f>
        <v/>
      </c>
      <c r="E83" s="19" t="str">
        <f aca="false">IF($A83="","",SUMIFS(FichaTecnica_CustoTotal,FichaTecnica_Produto,$A83))</f>
        <v/>
      </c>
      <c r="F83" s="19" t="str">
        <f aca="false">IF($A83="","",IFERROR($E83/(1-Perdas),$E83))</f>
        <v/>
      </c>
      <c r="G83" s="41" t="str">
        <f aca="false">IF($A83="","",IFERROR(INDEX(Rateio_CustoFixoPorVendaLinha,MATCH(LojaSelecionada,Rateio_LojasHeader,0)),0))</f>
        <v/>
      </c>
      <c r="H83" s="19" t="str">
        <f aca="false">IF($A83="","",$F83+$G83)</f>
        <v/>
      </c>
      <c r="I83" s="19" t="str">
        <f aca="false">IF($A83="","",IFERROR($H83/(1-MargemLiquidaDesejada-Impostos-TaxaCartao-Comissao),"Ajustar parâmetros"))</f>
        <v/>
      </c>
      <c r="J83" s="20" t="str">
        <f aca="false">IF(OR($A83="",$C83=""),"",IFERROR($F83/$C83,""))</f>
        <v/>
      </c>
      <c r="K83" s="20" t="str">
        <f aca="false">IF(OR($A83="",$C83=""),"",IFERROR(($C83-$H83-$C83*(Impostos+TaxaCartao+Comissao))/$C83,""))</f>
        <v/>
      </c>
      <c r="L83" s="19" t="str">
        <f aca="false">IF(OR($A83="",$C83=""),"",$C83-$H83-$C83*(Impostos+TaxaCartao+Comissao))</f>
        <v/>
      </c>
      <c r="M83" s="19" t="str">
        <f aca="false">IF(OR($A83="",$C83="",NOT(ISNUMBER($I83))),"",$C83-$I83)</f>
        <v/>
      </c>
      <c r="N83" s="42" t="str">
        <f aca="false">IF(OR($A83="",$K83=""),"",IF($K83&gt;=MargemLiquidaDesejada,"🟢 Margem Saudável",IF($K83&gt;=MargemLiquidaDesejada*0.8,"🟡 Atenção","🔴 Abaixo da Meta")))</f>
        <v/>
      </c>
    </row>
    <row r="84" customFormat="false" ht="15" hidden="false" customHeight="true" outlineLevel="0" collapsed="false">
      <c r="A84" s="33"/>
      <c r="B84" s="33"/>
      <c r="C84" s="33"/>
      <c r="D84" s="40" t="str">
        <f aca="false">IF($A84="","",SUMIFS(FichaTecnica_QtdGML,FichaTecnica_Produto,$A84))</f>
        <v/>
      </c>
      <c r="E84" s="19" t="str">
        <f aca="false">IF($A84="","",SUMIFS(FichaTecnica_CustoTotal,FichaTecnica_Produto,$A84))</f>
        <v/>
      </c>
      <c r="F84" s="19" t="str">
        <f aca="false">IF($A84="","",IFERROR($E84/(1-Perdas),$E84))</f>
        <v/>
      </c>
      <c r="G84" s="41" t="str">
        <f aca="false">IF($A84="","",IFERROR(INDEX(Rateio_CustoFixoPorVendaLinha,MATCH(LojaSelecionada,Rateio_LojasHeader,0)),0))</f>
        <v/>
      </c>
      <c r="H84" s="19" t="str">
        <f aca="false">IF($A84="","",$F84+$G84)</f>
        <v/>
      </c>
      <c r="I84" s="19" t="str">
        <f aca="false">IF($A84="","",IFERROR($H84/(1-MargemLiquidaDesejada-Impostos-TaxaCartao-Comissao),"Ajustar parâmetros"))</f>
        <v/>
      </c>
      <c r="J84" s="20" t="str">
        <f aca="false">IF(OR($A84="",$C84=""),"",IFERROR($F84/$C84,""))</f>
        <v/>
      </c>
      <c r="K84" s="20" t="str">
        <f aca="false">IF(OR($A84="",$C84=""),"",IFERROR(($C84-$H84-$C84*(Impostos+TaxaCartao+Comissao))/$C84,""))</f>
        <v/>
      </c>
      <c r="L84" s="19" t="str">
        <f aca="false">IF(OR($A84="",$C84=""),"",$C84-$H84-$C84*(Impostos+TaxaCartao+Comissao))</f>
        <v/>
      </c>
      <c r="M84" s="19" t="str">
        <f aca="false">IF(OR($A84="",$C84="",NOT(ISNUMBER($I84))),"",$C84-$I84)</f>
        <v/>
      </c>
      <c r="N84" s="42" t="str">
        <f aca="false">IF(OR($A84="",$K84=""),"",IF($K84&gt;=MargemLiquidaDesejada,"🟢 Margem Saudável",IF($K84&gt;=MargemLiquidaDesejada*0.8,"🟡 Atenção","🔴 Abaixo da Meta")))</f>
        <v/>
      </c>
    </row>
    <row r="85" customFormat="false" ht="15" hidden="false" customHeight="true" outlineLevel="0" collapsed="false">
      <c r="A85" s="33"/>
      <c r="B85" s="33"/>
      <c r="C85" s="33"/>
      <c r="D85" s="40" t="str">
        <f aca="false">IF($A85="","",SUMIFS(FichaTecnica_QtdGML,FichaTecnica_Produto,$A85))</f>
        <v/>
      </c>
      <c r="E85" s="19" t="str">
        <f aca="false">IF($A85="","",SUMIFS(FichaTecnica_CustoTotal,FichaTecnica_Produto,$A85))</f>
        <v/>
      </c>
      <c r="F85" s="19" t="str">
        <f aca="false">IF($A85="","",IFERROR($E85/(1-Perdas),$E85))</f>
        <v/>
      </c>
      <c r="G85" s="41" t="str">
        <f aca="false">IF($A85="","",IFERROR(INDEX(Rateio_CustoFixoPorVendaLinha,MATCH(LojaSelecionada,Rateio_LojasHeader,0)),0))</f>
        <v/>
      </c>
      <c r="H85" s="19" t="str">
        <f aca="false">IF($A85="","",$F85+$G85)</f>
        <v/>
      </c>
      <c r="I85" s="19" t="str">
        <f aca="false">IF($A85="","",IFERROR($H85/(1-MargemLiquidaDesejada-Impostos-TaxaCartao-Comissao),"Ajustar parâmetros"))</f>
        <v/>
      </c>
      <c r="J85" s="20" t="str">
        <f aca="false">IF(OR($A85="",$C85=""),"",IFERROR($F85/$C85,""))</f>
        <v/>
      </c>
      <c r="K85" s="20" t="str">
        <f aca="false">IF(OR($A85="",$C85=""),"",IFERROR(($C85-$H85-$C85*(Impostos+TaxaCartao+Comissao))/$C85,""))</f>
        <v/>
      </c>
      <c r="L85" s="19" t="str">
        <f aca="false">IF(OR($A85="",$C85=""),"",$C85-$H85-$C85*(Impostos+TaxaCartao+Comissao))</f>
        <v/>
      </c>
      <c r="M85" s="19" t="str">
        <f aca="false">IF(OR($A85="",$C85="",NOT(ISNUMBER($I85))),"",$C85-$I85)</f>
        <v/>
      </c>
      <c r="N85" s="42" t="str">
        <f aca="false">IF(OR($A85="",$K85=""),"",IF($K85&gt;=MargemLiquidaDesejada,"🟢 Margem Saudável",IF($K85&gt;=MargemLiquidaDesejada*0.8,"🟡 Atenção","🔴 Abaixo da Meta")))</f>
        <v/>
      </c>
    </row>
    <row r="86" customFormat="false" ht="15" hidden="false" customHeight="true" outlineLevel="0" collapsed="false">
      <c r="A86" s="33"/>
      <c r="B86" s="33"/>
      <c r="C86" s="33"/>
      <c r="D86" s="40" t="str">
        <f aca="false">IF($A86="","",SUMIFS(FichaTecnica_QtdGML,FichaTecnica_Produto,$A86))</f>
        <v/>
      </c>
      <c r="E86" s="19" t="str">
        <f aca="false">IF($A86="","",SUMIFS(FichaTecnica_CustoTotal,FichaTecnica_Produto,$A86))</f>
        <v/>
      </c>
      <c r="F86" s="19" t="str">
        <f aca="false">IF($A86="","",IFERROR($E86/(1-Perdas),$E86))</f>
        <v/>
      </c>
      <c r="G86" s="41" t="str">
        <f aca="false">IF($A86="","",IFERROR(INDEX(Rateio_CustoFixoPorVendaLinha,MATCH(LojaSelecionada,Rateio_LojasHeader,0)),0))</f>
        <v/>
      </c>
      <c r="H86" s="19" t="str">
        <f aca="false">IF($A86="","",$F86+$G86)</f>
        <v/>
      </c>
      <c r="I86" s="19" t="str">
        <f aca="false">IF($A86="","",IFERROR($H86/(1-MargemLiquidaDesejada-Impostos-TaxaCartao-Comissao),"Ajustar parâmetros"))</f>
        <v/>
      </c>
      <c r="J86" s="20" t="str">
        <f aca="false">IF(OR($A86="",$C86=""),"",IFERROR($F86/$C86,""))</f>
        <v/>
      </c>
      <c r="K86" s="20" t="str">
        <f aca="false">IF(OR($A86="",$C86=""),"",IFERROR(($C86-$H86-$C86*(Impostos+TaxaCartao+Comissao))/$C86,""))</f>
        <v/>
      </c>
      <c r="L86" s="19" t="str">
        <f aca="false">IF(OR($A86="",$C86=""),"",$C86-$H86-$C86*(Impostos+TaxaCartao+Comissao))</f>
        <v/>
      </c>
      <c r="M86" s="19" t="str">
        <f aca="false">IF(OR($A86="",$C86="",NOT(ISNUMBER($I86))),"",$C86-$I86)</f>
        <v/>
      </c>
      <c r="N86" s="42" t="str">
        <f aca="false">IF(OR($A86="",$K86=""),"",IF($K86&gt;=MargemLiquidaDesejada,"🟢 Margem Saudável",IF($K86&gt;=MargemLiquidaDesejada*0.8,"🟡 Atenção","🔴 Abaixo da Meta")))</f>
        <v/>
      </c>
    </row>
    <row r="87" customFormat="false" ht="15" hidden="false" customHeight="true" outlineLevel="0" collapsed="false">
      <c r="A87" s="33"/>
      <c r="B87" s="33"/>
      <c r="C87" s="33"/>
      <c r="D87" s="40" t="str">
        <f aca="false">IF($A87="","",SUMIFS(FichaTecnica_QtdGML,FichaTecnica_Produto,$A87))</f>
        <v/>
      </c>
      <c r="E87" s="19" t="str">
        <f aca="false">IF($A87="","",SUMIFS(FichaTecnica_CustoTotal,FichaTecnica_Produto,$A87))</f>
        <v/>
      </c>
      <c r="F87" s="19" t="str">
        <f aca="false">IF($A87="","",IFERROR($E87/(1-Perdas),$E87))</f>
        <v/>
      </c>
      <c r="G87" s="41" t="str">
        <f aca="false">IF($A87="","",IFERROR(INDEX(Rateio_CustoFixoPorVendaLinha,MATCH(LojaSelecionada,Rateio_LojasHeader,0)),0))</f>
        <v/>
      </c>
      <c r="H87" s="19" t="str">
        <f aca="false">IF($A87="","",$F87+$G87)</f>
        <v/>
      </c>
      <c r="I87" s="19" t="str">
        <f aca="false">IF($A87="","",IFERROR($H87/(1-MargemLiquidaDesejada-Impostos-TaxaCartao-Comissao),"Ajustar parâmetros"))</f>
        <v/>
      </c>
      <c r="J87" s="20" t="str">
        <f aca="false">IF(OR($A87="",$C87=""),"",IFERROR($F87/$C87,""))</f>
        <v/>
      </c>
      <c r="K87" s="20" t="str">
        <f aca="false">IF(OR($A87="",$C87=""),"",IFERROR(($C87-$H87-$C87*(Impostos+TaxaCartao+Comissao))/$C87,""))</f>
        <v/>
      </c>
      <c r="L87" s="19" t="str">
        <f aca="false">IF(OR($A87="",$C87=""),"",$C87-$H87-$C87*(Impostos+TaxaCartao+Comissao))</f>
        <v/>
      </c>
      <c r="M87" s="19" t="str">
        <f aca="false">IF(OR($A87="",$C87="",NOT(ISNUMBER($I87))),"",$C87-$I87)</f>
        <v/>
      </c>
      <c r="N87" s="42" t="str">
        <f aca="false">IF(OR($A87="",$K87=""),"",IF($K87&gt;=MargemLiquidaDesejada,"🟢 Margem Saudável",IF($K87&gt;=MargemLiquidaDesejada*0.8,"🟡 Atenção","🔴 Abaixo da Meta")))</f>
        <v/>
      </c>
    </row>
    <row r="88" customFormat="false" ht="15" hidden="false" customHeight="true" outlineLevel="0" collapsed="false">
      <c r="A88" s="33"/>
      <c r="B88" s="33"/>
      <c r="C88" s="33"/>
      <c r="D88" s="40" t="str">
        <f aca="false">IF($A88="","",SUMIFS(FichaTecnica_QtdGML,FichaTecnica_Produto,$A88))</f>
        <v/>
      </c>
      <c r="E88" s="19" t="str">
        <f aca="false">IF($A88="","",SUMIFS(FichaTecnica_CustoTotal,FichaTecnica_Produto,$A88))</f>
        <v/>
      </c>
      <c r="F88" s="19" t="str">
        <f aca="false">IF($A88="","",IFERROR($E88/(1-Perdas),$E88))</f>
        <v/>
      </c>
      <c r="G88" s="41" t="str">
        <f aca="false">IF($A88="","",IFERROR(INDEX(Rateio_CustoFixoPorVendaLinha,MATCH(LojaSelecionada,Rateio_LojasHeader,0)),0))</f>
        <v/>
      </c>
      <c r="H88" s="19" t="str">
        <f aca="false">IF($A88="","",$F88+$G88)</f>
        <v/>
      </c>
      <c r="I88" s="19" t="str">
        <f aca="false">IF($A88="","",IFERROR($H88/(1-MargemLiquidaDesejada-Impostos-TaxaCartao-Comissao),"Ajustar parâmetros"))</f>
        <v/>
      </c>
      <c r="J88" s="20" t="str">
        <f aca="false">IF(OR($A88="",$C88=""),"",IFERROR($F88/$C88,""))</f>
        <v/>
      </c>
      <c r="K88" s="20" t="str">
        <f aca="false">IF(OR($A88="",$C88=""),"",IFERROR(($C88-$H88-$C88*(Impostos+TaxaCartao+Comissao))/$C88,""))</f>
        <v/>
      </c>
      <c r="L88" s="19" t="str">
        <f aca="false">IF(OR($A88="",$C88=""),"",$C88-$H88-$C88*(Impostos+TaxaCartao+Comissao))</f>
        <v/>
      </c>
      <c r="M88" s="19" t="str">
        <f aca="false">IF(OR($A88="",$C88="",NOT(ISNUMBER($I88))),"",$C88-$I88)</f>
        <v/>
      </c>
      <c r="N88" s="42" t="str">
        <f aca="false">IF(OR($A88="",$K88=""),"",IF($K88&gt;=MargemLiquidaDesejada,"🟢 Margem Saudável",IF($K88&gt;=MargemLiquidaDesejada*0.8,"🟡 Atenção","🔴 Abaixo da Meta")))</f>
        <v/>
      </c>
    </row>
    <row r="89" customFormat="false" ht="15" hidden="false" customHeight="true" outlineLevel="0" collapsed="false">
      <c r="A89" s="33"/>
      <c r="B89" s="33"/>
      <c r="C89" s="33"/>
      <c r="D89" s="40" t="str">
        <f aca="false">IF($A89="","",SUMIFS(FichaTecnica_QtdGML,FichaTecnica_Produto,$A89))</f>
        <v/>
      </c>
      <c r="E89" s="19" t="str">
        <f aca="false">IF($A89="","",SUMIFS(FichaTecnica_CustoTotal,FichaTecnica_Produto,$A89))</f>
        <v/>
      </c>
      <c r="F89" s="19" t="str">
        <f aca="false">IF($A89="","",IFERROR($E89/(1-Perdas),$E89))</f>
        <v/>
      </c>
      <c r="G89" s="41" t="str">
        <f aca="false">IF($A89="","",IFERROR(INDEX(Rateio_CustoFixoPorVendaLinha,MATCH(LojaSelecionada,Rateio_LojasHeader,0)),0))</f>
        <v/>
      </c>
      <c r="H89" s="19" t="str">
        <f aca="false">IF($A89="","",$F89+$G89)</f>
        <v/>
      </c>
      <c r="I89" s="19" t="str">
        <f aca="false">IF($A89="","",IFERROR($H89/(1-MargemLiquidaDesejada-Impostos-TaxaCartao-Comissao),"Ajustar parâmetros"))</f>
        <v/>
      </c>
      <c r="J89" s="20" t="str">
        <f aca="false">IF(OR($A89="",$C89=""),"",IFERROR($F89/$C89,""))</f>
        <v/>
      </c>
      <c r="K89" s="20" t="str">
        <f aca="false">IF(OR($A89="",$C89=""),"",IFERROR(($C89-$H89-$C89*(Impostos+TaxaCartao+Comissao))/$C89,""))</f>
        <v/>
      </c>
      <c r="L89" s="19" t="str">
        <f aca="false">IF(OR($A89="",$C89=""),"",$C89-$H89-$C89*(Impostos+TaxaCartao+Comissao))</f>
        <v/>
      </c>
      <c r="M89" s="19" t="str">
        <f aca="false">IF(OR($A89="",$C89="",NOT(ISNUMBER($I89))),"",$C89-$I89)</f>
        <v/>
      </c>
      <c r="N89" s="42" t="str">
        <f aca="false">IF(OR($A89="",$K89=""),"",IF($K89&gt;=MargemLiquidaDesejada,"🟢 Margem Saudável",IF($K89&gt;=MargemLiquidaDesejada*0.8,"🟡 Atenção","🔴 Abaixo da Meta")))</f>
        <v/>
      </c>
    </row>
    <row r="90" customFormat="false" ht="15" hidden="false" customHeight="true" outlineLevel="0" collapsed="false">
      <c r="A90" s="33"/>
      <c r="B90" s="33"/>
      <c r="C90" s="33"/>
      <c r="D90" s="40" t="str">
        <f aca="false">IF($A90="","",SUMIFS(FichaTecnica_QtdGML,FichaTecnica_Produto,$A90))</f>
        <v/>
      </c>
      <c r="E90" s="19" t="str">
        <f aca="false">IF($A90="","",SUMIFS(FichaTecnica_CustoTotal,FichaTecnica_Produto,$A90))</f>
        <v/>
      </c>
      <c r="F90" s="19" t="str">
        <f aca="false">IF($A90="","",IFERROR($E90/(1-Perdas),$E90))</f>
        <v/>
      </c>
      <c r="G90" s="41" t="str">
        <f aca="false">IF($A90="","",IFERROR(INDEX(Rateio_CustoFixoPorVendaLinha,MATCH(LojaSelecionada,Rateio_LojasHeader,0)),0))</f>
        <v/>
      </c>
      <c r="H90" s="19" t="str">
        <f aca="false">IF($A90="","",$F90+$G90)</f>
        <v/>
      </c>
      <c r="I90" s="19" t="str">
        <f aca="false">IF($A90="","",IFERROR($H90/(1-MargemLiquidaDesejada-Impostos-TaxaCartao-Comissao),"Ajustar parâmetros"))</f>
        <v/>
      </c>
      <c r="J90" s="20" t="str">
        <f aca="false">IF(OR($A90="",$C90=""),"",IFERROR($F90/$C90,""))</f>
        <v/>
      </c>
      <c r="K90" s="20" t="str">
        <f aca="false">IF(OR($A90="",$C90=""),"",IFERROR(($C90-$H90-$C90*(Impostos+TaxaCartao+Comissao))/$C90,""))</f>
        <v/>
      </c>
      <c r="L90" s="19" t="str">
        <f aca="false">IF(OR($A90="",$C90=""),"",$C90-$H90-$C90*(Impostos+TaxaCartao+Comissao))</f>
        <v/>
      </c>
      <c r="M90" s="19" t="str">
        <f aca="false">IF(OR($A90="",$C90="",NOT(ISNUMBER($I90))),"",$C90-$I90)</f>
        <v/>
      </c>
      <c r="N90" s="42" t="str">
        <f aca="false">IF(OR($A90="",$K90=""),"",IF($K90&gt;=MargemLiquidaDesejada,"🟢 Margem Saudável",IF($K90&gt;=MargemLiquidaDesejada*0.8,"🟡 Atenção","🔴 Abaixo da Meta")))</f>
        <v/>
      </c>
    </row>
  </sheetData>
  <mergeCells count="2">
    <mergeCell ref="A1:N1"/>
    <mergeCell ref="A2:N2"/>
  </mergeCells>
  <conditionalFormatting sqref="A5:N90">
    <cfRule type="expression" priority="2" aboveAverage="0" equalAverage="0" bottom="0" percent="0" rank="0" text="" dxfId="0">
      <formula>AND($A5&lt;&gt;"",ISNUMBER($K5),$K5&gt;=MargemLiquidaDesejada)</formula>
    </cfRule>
    <cfRule type="expression" priority="3" aboveAverage="0" equalAverage="0" bottom="0" percent="0" rank="0" text="" dxfId="1">
      <formula>AND($A5&lt;&gt;"",ISNUMBER($K5),$K5&lt;MargemLiquidaDesejada,$K5&gt;=MargemLiquidaDesejada*0.8)</formula>
    </cfRule>
    <cfRule type="expression" priority="4" aboveAverage="0" equalAverage="0" bottom="0" percent="0" rank="0" text="" dxfId="2">
      <formula>AND($A5&lt;&gt;"",ISNUMBER($K5),$K5&lt;MargemLiquidaDesejada*0.8)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5"/>
  </cols>
  <sheetData>
    <row r="1" customFormat="false" ht="25.5" hidden="false" customHeight="true" outlineLevel="0" collapsed="false">
      <c r="A1" s="13" t="s">
        <v>235</v>
      </c>
      <c r="B1" s="13"/>
      <c r="C1" s="13"/>
      <c r="D1" s="13"/>
      <c r="E1" s="13"/>
      <c r="F1" s="13"/>
      <c r="G1" s="13"/>
    </row>
    <row r="2" customFormat="false" ht="30" hidden="false" customHeight="true" outlineLevel="0" collapsed="false">
      <c r="A2" s="14" t="s">
        <v>236</v>
      </c>
      <c r="B2" s="14"/>
      <c r="C2" s="14"/>
      <c r="D2" s="14"/>
      <c r="E2" s="14"/>
      <c r="F2" s="14"/>
      <c r="G2" s="14"/>
    </row>
    <row r="4" customFormat="false" ht="30" hidden="false" customHeight="true" outlineLevel="0" collapsed="false">
      <c r="A4" s="27" t="s">
        <v>237</v>
      </c>
      <c r="B4" s="27" t="s">
        <v>72</v>
      </c>
      <c r="C4" s="27" t="s">
        <v>238</v>
      </c>
      <c r="D4" s="27" t="s">
        <v>239</v>
      </c>
      <c r="E4" s="27" t="s">
        <v>240</v>
      </c>
      <c r="F4" s="27" t="s">
        <v>241</v>
      </c>
      <c r="G4" s="27" t="s">
        <v>242</v>
      </c>
    </row>
    <row r="5" customFormat="false" ht="15" hidden="false" customHeight="true" outlineLevel="0" collapsed="false">
      <c r="A5" s="28" t="s">
        <v>243</v>
      </c>
      <c r="B5" s="32" t="n">
        <v>6505.5</v>
      </c>
      <c r="C5" s="32"/>
      <c r="D5" s="32"/>
      <c r="E5" s="32"/>
      <c r="F5" s="32"/>
      <c r="G5" s="32"/>
    </row>
    <row r="6" customFormat="false" ht="15" hidden="false" customHeight="true" outlineLevel="0" collapsed="false">
      <c r="A6" s="28" t="s">
        <v>244</v>
      </c>
      <c r="B6" s="32" t="n">
        <v>300</v>
      </c>
      <c r="C6" s="32"/>
      <c r="D6" s="32"/>
      <c r="E6" s="32"/>
      <c r="F6" s="32"/>
      <c r="G6" s="32"/>
    </row>
    <row r="7" customFormat="false" ht="15" hidden="false" customHeight="true" outlineLevel="0" collapsed="false">
      <c r="A7" s="28" t="s">
        <v>245</v>
      </c>
      <c r="B7" s="32" t="n">
        <v>200</v>
      </c>
      <c r="C7" s="32"/>
      <c r="D7" s="32"/>
      <c r="E7" s="32"/>
      <c r="F7" s="32"/>
      <c r="G7" s="32"/>
    </row>
    <row r="8" customFormat="false" ht="15" hidden="false" customHeight="true" outlineLevel="0" collapsed="false">
      <c r="A8" s="28" t="s">
        <v>246</v>
      </c>
      <c r="B8" s="32" t="n">
        <v>120</v>
      </c>
      <c r="C8" s="32" t="n">
        <v>120</v>
      </c>
      <c r="D8" s="32" t="n">
        <v>120</v>
      </c>
      <c r="E8" s="32" t="n">
        <v>120</v>
      </c>
      <c r="F8" s="32" t="n">
        <v>120</v>
      </c>
      <c r="G8" s="32"/>
    </row>
    <row r="9" customFormat="false" ht="15" hidden="false" customHeight="true" outlineLevel="0" collapsed="false">
      <c r="A9" s="28" t="s">
        <v>247</v>
      </c>
      <c r="B9" s="32" t="n">
        <v>0</v>
      </c>
      <c r="C9" s="32" t="n">
        <v>0</v>
      </c>
      <c r="D9" s="32" t="n">
        <v>0</v>
      </c>
      <c r="E9" s="32" t="n">
        <v>0</v>
      </c>
      <c r="F9" s="32" t="n">
        <v>0</v>
      </c>
      <c r="G9" s="32"/>
    </row>
    <row r="10" customFormat="false" ht="15" hidden="false" customHeight="true" outlineLevel="0" collapsed="false">
      <c r="A10" s="28" t="s">
        <v>248</v>
      </c>
      <c r="B10" s="32" t="n">
        <v>383</v>
      </c>
      <c r="C10" s="32" t="n">
        <v>383</v>
      </c>
      <c r="D10" s="32" t="n">
        <v>383</v>
      </c>
      <c r="E10" s="32" t="n">
        <v>383</v>
      </c>
      <c r="F10" s="32" t="n">
        <v>383</v>
      </c>
      <c r="G10" s="32"/>
    </row>
    <row r="11" customFormat="false" ht="15" hidden="false" customHeight="true" outlineLevel="0" collapsed="false">
      <c r="A11" s="28" t="s">
        <v>249</v>
      </c>
      <c r="B11" s="32" t="n">
        <v>1500</v>
      </c>
      <c r="C11" s="32" t="n">
        <v>1500</v>
      </c>
      <c r="D11" s="32" t="n">
        <v>1500</v>
      </c>
      <c r="E11" s="32" t="n">
        <v>1500</v>
      </c>
      <c r="F11" s="32" t="n">
        <v>1500</v>
      </c>
      <c r="G11" s="32"/>
    </row>
    <row r="12" customFormat="false" ht="15" hidden="false" customHeight="true" outlineLevel="0" collapsed="false">
      <c r="A12" s="28" t="s">
        <v>250</v>
      </c>
      <c r="B12" s="32" t="n">
        <v>17661.3</v>
      </c>
      <c r="C12" s="32"/>
      <c r="D12" s="32"/>
      <c r="E12" s="32"/>
      <c r="F12" s="32"/>
      <c r="G12" s="32"/>
    </row>
    <row r="13" customFormat="false" ht="15" hidden="false" customHeight="true" outlineLevel="0" collapsed="false">
      <c r="A13" s="28" t="s">
        <v>251</v>
      </c>
      <c r="B13" s="32" t="n">
        <v>0</v>
      </c>
      <c r="C13" s="32"/>
      <c r="D13" s="32"/>
      <c r="E13" s="32"/>
      <c r="F13" s="32"/>
      <c r="G13" s="32"/>
    </row>
    <row r="14" customFormat="false" ht="15" hidden="false" customHeight="true" outlineLevel="0" collapsed="false">
      <c r="A14" s="28" t="s">
        <v>252</v>
      </c>
      <c r="B14" s="32" t="n">
        <v>0</v>
      </c>
      <c r="C14" s="32"/>
      <c r="D14" s="32"/>
      <c r="E14" s="32"/>
      <c r="F14" s="32"/>
      <c r="G14" s="32"/>
    </row>
    <row r="15" customFormat="false" ht="15" hidden="false" customHeight="true" outlineLevel="0" collapsed="false">
      <c r="A15" s="29"/>
      <c r="B15" s="43"/>
      <c r="C15" s="43"/>
      <c r="D15" s="43"/>
      <c r="E15" s="43"/>
      <c r="F15" s="43"/>
      <c r="G15" s="43"/>
    </row>
    <row r="16" customFormat="false" ht="15" hidden="false" customHeight="true" outlineLevel="0" collapsed="false">
      <c r="A16" s="29"/>
      <c r="B16" s="43"/>
      <c r="C16" s="43"/>
      <c r="D16" s="43"/>
      <c r="E16" s="43"/>
      <c r="F16" s="43"/>
      <c r="G16" s="43"/>
    </row>
    <row r="17" customFormat="false" ht="15" hidden="false" customHeight="true" outlineLevel="0" collapsed="false">
      <c r="A17" s="29"/>
      <c r="B17" s="43"/>
      <c r="C17" s="43"/>
      <c r="D17" s="43"/>
      <c r="E17" s="43"/>
      <c r="F17" s="43"/>
      <c r="G17" s="43"/>
    </row>
    <row r="18" customFormat="false" ht="15" hidden="false" customHeight="true" outlineLevel="0" collapsed="false">
      <c r="A18" s="29"/>
      <c r="B18" s="43"/>
      <c r="C18" s="43"/>
      <c r="D18" s="43"/>
      <c r="E18" s="43"/>
      <c r="F18" s="43"/>
      <c r="G18" s="43"/>
    </row>
    <row r="19" customFormat="false" ht="15" hidden="false" customHeight="true" outlineLevel="0" collapsed="false">
      <c r="A19" s="29"/>
      <c r="B19" s="43"/>
      <c r="C19" s="43"/>
      <c r="D19" s="43"/>
      <c r="E19" s="43"/>
      <c r="F19" s="43"/>
      <c r="G19" s="43"/>
    </row>
    <row r="20" customFormat="false" ht="15" hidden="false" customHeight="true" outlineLevel="0" collapsed="false">
      <c r="A20" s="29"/>
      <c r="B20" s="43"/>
      <c r="C20" s="43"/>
      <c r="D20" s="43"/>
      <c r="E20" s="43"/>
      <c r="F20" s="43"/>
      <c r="G20" s="43"/>
    </row>
    <row r="22" customFormat="false" ht="15" hidden="false" customHeight="true" outlineLevel="0" collapsed="false">
      <c r="A22" s="6" t="s">
        <v>253</v>
      </c>
      <c r="B22" s="44" t="n">
        <f aca="false">SUM(B5:B20)</f>
        <v>26669.8</v>
      </c>
      <c r="C22" s="44" t="n">
        <f aca="false">SUM(C5:C20)</f>
        <v>2003</v>
      </c>
      <c r="D22" s="44" t="n">
        <f aca="false">SUM(D5:D20)</f>
        <v>2003</v>
      </c>
      <c r="E22" s="44" t="n">
        <f aca="false">SUM(E5:E20)</f>
        <v>2003</v>
      </c>
      <c r="F22" s="44" t="n">
        <f aca="false">SUM(F5:F20)</f>
        <v>2003</v>
      </c>
      <c r="G22" s="44" t="n">
        <f aca="false">SUM(G5:G20)</f>
        <v>0</v>
      </c>
    </row>
    <row r="24" customFormat="false" ht="15" hidden="false" customHeight="true" outlineLevel="0" collapsed="false">
      <c r="A24" s="10" t="s">
        <v>254</v>
      </c>
      <c r="B24" s="45" t="n">
        <v>3600</v>
      </c>
      <c r="C24" s="45"/>
      <c r="D24" s="45"/>
      <c r="E24" s="45"/>
      <c r="F24" s="45"/>
      <c r="G24" s="45"/>
    </row>
    <row r="26" customFormat="false" ht="15" hidden="false" customHeight="true" outlineLevel="0" collapsed="false">
      <c r="A26" s="46" t="s">
        <v>255</v>
      </c>
      <c r="B26" s="47" t="n">
        <f aca="false">IFERROR(B22/B24,0)</f>
        <v>7.40827777777778</v>
      </c>
      <c r="C26" s="47" t="n">
        <f aca="false">IFERROR(C22/C24,0)</f>
        <v>0</v>
      </c>
      <c r="D26" s="47" t="n">
        <f aca="false">IFERROR(D22/D24,0)</f>
        <v>0</v>
      </c>
      <c r="E26" s="47" t="n">
        <f aca="false">IFERROR(E22/E24,0)</f>
        <v>0</v>
      </c>
      <c r="F26" s="47" t="n">
        <f aca="false">IFERROR(F22/F24,0)</f>
        <v>0</v>
      </c>
      <c r="G26" s="47" t="n">
        <f aca="false">IFERROR(G22/G24,0)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6C00"/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46"/>
  </cols>
  <sheetData>
    <row r="1" customFormat="false" ht="25.5" hidden="false" customHeight="true" outlineLevel="0" collapsed="false">
      <c r="A1" s="13" t="s">
        <v>256</v>
      </c>
      <c r="B1" s="13"/>
      <c r="C1" s="13"/>
    </row>
    <row r="2" customFormat="false" ht="30" hidden="false" customHeight="true" outlineLevel="0" collapsed="false">
      <c r="A2" s="14" t="s">
        <v>257</v>
      </c>
      <c r="B2" s="14"/>
      <c r="C2" s="14"/>
    </row>
    <row r="4" customFormat="false" ht="30" hidden="false" customHeight="true" outlineLevel="0" collapsed="false">
      <c r="A4" s="21" t="s">
        <v>258</v>
      </c>
      <c r="B4" s="21" t="s">
        <v>54</v>
      </c>
      <c r="C4" s="21" t="s">
        <v>55</v>
      </c>
    </row>
    <row r="5" customFormat="false" ht="15" hidden="false" customHeight="true" outlineLevel="0" collapsed="false">
      <c r="A5" s="18" t="s">
        <v>33</v>
      </c>
      <c r="B5" s="48" t="s">
        <v>175</v>
      </c>
      <c r="C5" s="49" t="s">
        <v>259</v>
      </c>
    </row>
    <row r="6" customFormat="false" ht="18.75" hidden="false" customHeight="true" outlineLevel="0" collapsed="false">
      <c r="A6" s="18" t="s">
        <v>58</v>
      </c>
      <c r="B6" s="22" t="n">
        <v>0.15</v>
      </c>
      <c r="C6" s="49" t="s">
        <v>260</v>
      </c>
    </row>
    <row r="7" customFormat="false" ht="15" hidden="false" customHeight="true" outlineLevel="0" collapsed="false">
      <c r="A7" s="18" t="s">
        <v>261</v>
      </c>
      <c r="B7" s="22" t="n">
        <v>0.35</v>
      </c>
      <c r="C7" s="49" t="s">
        <v>262</v>
      </c>
    </row>
    <row r="9" customFormat="false" ht="30" hidden="false" customHeight="true" outlineLevel="0" collapsed="false">
      <c r="A9" s="21" t="s">
        <v>263</v>
      </c>
      <c r="B9" s="21" t="s">
        <v>54</v>
      </c>
      <c r="C9" s="21" t="s">
        <v>55</v>
      </c>
    </row>
    <row r="10" customFormat="false" ht="15" hidden="false" customHeight="true" outlineLevel="0" collapsed="false">
      <c r="A10" s="28" t="s">
        <v>223</v>
      </c>
      <c r="B10" s="19" t="n">
        <f aca="false">IFERROR(INDEX(Receitas_CustoInsumosPerdas,MATCH($B$5,Receitas_Produto,0)),0)</f>
        <v>4.31034099920698</v>
      </c>
      <c r="C10" s="49" t="s">
        <v>264</v>
      </c>
    </row>
    <row r="11" customFormat="false" ht="15" hidden="false" customHeight="true" outlineLevel="0" collapsed="false">
      <c r="A11" s="28" t="s">
        <v>265</v>
      </c>
      <c r="B11" s="19" t="n">
        <f aca="false">IFERROR(INDEX(Receitas_CustoFixo,MATCH($B$5,Receitas_Produto,0)),0)</f>
        <v>7.40827777777778</v>
      </c>
      <c r="C11" s="49" t="s">
        <v>266</v>
      </c>
    </row>
    <row r="12" customFormat="false" ht="15" hidden="false" customHeight="true" outlineLevel="0" collapsed="false">
      <c r="A12" s="28" t="s">
        <v>225</v>
      </c>
      <c r="B12" s="19" t="n">
        <f aca="false">B10+B11</f>
        <v>11.7186187769848</v>
      </c>
      <c r="C12" s="49"/>
    </row>
    <row r="13" customFormat="false" ht="18.75" hidden="false" customHeight="true" outlineLevel="0" collapsed="false">
      <c r="A13" s="18" t="s">
        <v>267</v>
      </c>
      <c r="B13" s="50" t="n">
        <f aca="false">IFERROR(B12/(1-$B$6-Impostos-TaxaCartao-Comissao),"Ajustar parâmetros")</f>
        <v>18.1684012046275</v>
      </c>
      <c r="C13" s="49" t="s">
        <v>268</v>
      </c>
    </row>
    <row r="14" customFormat="false" ht="15" hidden="false" customHeight="true" outlineLevel="0" collapsed="false">
      <c r="A14" s="28" t="s">
        <v>269</v>
      </c>
      <c r="B14" s="20" t="n">
        <f aca="false">IF(ISNUMBER(B13),IFERROR(B10/B13,""),"")</f>
        <v>0.237243825180893</v>
      </c>
      <c r="C14" s="49" t="s">
        <v>270</v>
      </c>
    </row>
    <row r="15" customFormat="false" ht="15" hidden="false" customHeight="true" outlineLevel="0" collapsed="false">
      <c r="A15" s="28" t="s">
        <v>271</v>
      </c>
      <c r="B15" s="51" t="n">
        <f aca="false">IF(ISNUMBER(B13),IFERROR(B13/B10,""),"")</f>
        <v>4.21507282323375</v>
      </c>
      <c r="C15" s="49"/>
    </row>
    <row r="16" customFormat="false" ht="15" hidden="false" customHeight="true" outlineLevel="0" collapsed="false">
      <c r="A16" s="28" t="s">
        <v>272</v>
      </c>
      <c r="B16" s="19" t="n">
        <f aca="false">IF(ISNUMBER(B13),B13-B10,"")</f>
        <v>13.8580602054206</v>
      </c>
      <c r="C16" s="49" t="s">
        <v>273</v>
      </c>
    </row>
    <row r="17" customFormat="false" ht="15" hidden="false" customHeight="true" outlineLevel="0" collapsed="false">
      <c r="A17" s="28" t="s">
        <v>274</v>
      </c>
      <c r="B17" s="19" t="n">
        <f aca="false">IF(ISNUMBER(B13),B13-B12-B13*(Impostos+TaxaCartao+Comissao),"")</f>
        <v>2.72526018069413</v>
      </c>
      <c r="C17" s="49" t="s">
        <v>275</v>
      </c>
    </row>
    <row r="18" customFormat="false" ht="15" hidden="false" customHeight="true" outlineLevel="0" collapsed="false">
      <c r="A18" s="28" t="s">
        <v>276</v>
      </c>
      <c r="B18" s="20" t="n">
        <f aca="false">IF(ISNUMBER(B13),IFERROR(B17/B13,""),"")</f>
        <v>0.15</v>
      </c>
      <c r="C18" s="49"/>
    </row>
    <row r="19" customFormat="false" ht="15" hidden="false" customHeight="true" outlineLevel="0" collapsed="false">
      <c r="A19" s="28" t="s">
        <v>277</v>
      </c>
      <c r="B19" s="35" t="str">
        <f aca="false">IF(ISNUMBER(B14),IF(B14&lt;=$B$7,"🟢 Dentro do limite","🔴 Acima do CMV máximo"),"")</f>
        <v>🟢 Dentro do limite</v>
      </c>
      <c r="C19" s="49"/>
    </row>
  </sheetData>
  <mergeCells count="2">
    <mergeCell ref="A1:C1"/>
    <mergeCell ref="A2:C2"/>
  </mergeCells>
  <dataValidations count="1">
    <dataValidation allowBlank="true" errorStyle="warning" operator="between" showDropDown="false" showErrorMessage="true" showInputMessage="false" sqref="B5" type="list">
      <formula1>Listas_Produtos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1457"/>
    <pageSetUpPr fitToPage="false"/>
  </sheetPr>
  <dimension ref="A1:K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3"/>
    <col collapsed="false" customWidth="true" hidden="false" outlineLevel="0" max="6" min="6" style="1" width="20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13" t="s">
        <v>278</v>
      </c>
      <c r="B1" s="13"/>
      <c r="C1" s="13"/>
      <c r="D1" s="13"/>
      <c r="E1" s="13"/>
      <c r="F1" s="13"/>
      <c r="G1" s="13"/>
      <c r="H1" s="13"/>
    </row>
    <row r="2" customFormat="false" ht="30" hidden="false" customHeight="true" outlineLevel="0" collapsed="false">
      <c r="A2" s="14" t="s">
        <v>279</v>
      </c>
      <c r="B2" s="14"/>
      <c r="C2" s="14"/>
      <c r="D2" s="14"/>
      <c r="E2" s="14"/>
      <c r="F2" s="14"/>
      <c r="G2" s="14"/>
      <c r="H2" s="14"/>
    </row>
    <row r="4" customFormat="false" ht="20.25" hidden="false" customHeight="true" outlineLevel="0" collapsed="false">
      <c r="A4" s="52" t="s">
        <v>280</v>
      </c>
      <c r="B4" s="52"/>
      <c r="D4" s="52" t="s">
        <v>281</v>
      </c>
      <c r="E4" s="52"/>
      <c r="G4" s="52" t="s">
        <v>282</v>
      </c>
      <c r="H4" s="52"/>
      <c r="J4" s="52" t="s">
        <v>283</v>
      </c>
      <c r="K4" s="52"/>
    </row>
    <row r="5" customFormat="false" ht="30" hidden="false" customHeight="true" outlineLevel="0" collapsed="false">
      <c r="A5" s="53" t="n">
        <f aca="false">IFERROR(AVERAGEIF(Receitas_Produto,"&lt;&gt;",Receitas_CMV),"")</f>
        <v>0.267583244588886</v>
      </c>
      <c r="B5" s="53"/>
      <c r="D5" s="53" t="n">
        <f aca="false">IFERROR(AVERAGEIF(Receitas_Produto,"&lt;&gt;",Receitas_Margem),"")</f>
        <v>0.0128222548226382</v>
      </c>
      <c r="E5" s="53"/>
      <c r="G5" s="54" t="str">
        <f aca="false">IFERROR(INDEX(Receitas_Produto,MATCH(MAX(Receitas_Margem),Receitas_Margem,0)),"")</f>
        <v>Protein Shake</v>
      </c>
      <c r="H5" s="54"/>
      <c r="J5" s="54" t="str">
        <f aca="false">IFERROR(INDEX(Receitas_Produto,MATCH(MIN(Receitas_Margem),Receitas_Margem,0)),"")</f>
        <v>Refrigerante Lata 350ml</v>
      </c>
      <c r="K5" s="54"/>
    </row>
    <row r="6" customFormat="false" ht="19.5" hidden="false" customHeight="true" outlineLevel="0" collapsed="false">
      <c r="A6" s="53"/>
      <c r="B6" s="53"/>
      <c r="D6" s="53"/>
      <c r="E6" s="53"/>
      <c r="G6" s="54"/>
      <c r="H6" s="54"/>
      <c r="J6" s="54"/>
      <c r="K6" s="54"/>
    </row>
    <row r="9" customFormat="false" ht="15" hidden="false" customHeight="true" outlineLevel="0" collapsed="false">
      <c r="A9" s="6" t="s">
        <v>284</v>
      </c>
    </row>
    <row r="10" customFormat="false" ht="15" hidden="false" customHeight="true" outlineLevel="0" collapsed="false">
      <c r="A10" s="55" t="s">
        <v>77</v>
      </c>
      <c r="B10" s="55" t="s">
        <v>38</v>
      </c>
    </row>
    <row r="11" customFormat="false" ht="15" hidden="false" customHeight="true" outlineLevel="0" collapsed="false">
      <c r="A11" s="28" t="s">
        <v>89</v>
      </c>
      <c r="B11" s="19" t="n">
        <f aca="false">SUMIFS(FichaTecnica_CustoTotal,FichaTecnica_Categoria,"Bases (Produção Própria)")</f>
        <v>195.03</v>
      </c>
    </row>
    <row r="12" customFormat="false" ht="15" hidden="false" customHeight="true" outlineLevel="0" collapsed="false">
      <c r="A12" s="28" t="s">
        <v>97</v>
      </c>
      <c r="B12" s="19" t="n">
        <f aca="false">SUMIFS(FichaTecnica_CustoTotal,FichaTecnica_Categoria,"Coberturas (30g)")</f>
        <v>43.7884384615385</v>
      </c>
    </row>
    <row r="13" customFormat="false" ht="15" hidden="false" customHeight="true" outlineLevel="0" collapsed="false">
      <c r="A13" s="28" t="s">
        <v>132</v>
      </c>
      <c r="B13" s="19" t="n">
        <f aca="false">SUMIFS(FichaTecnica_CustoTotal,FichaTecnica_Categoria,"Linha Premium (Comprada)")</f>
        <v>103</v>
      </c>
    </row>
    <row r="14" customFormat="false" ht="15" hidden="false" customHeight="true" outlineLevel="0" collapsed="false">
      <c r="A14" s="28" t="s">
        <v>121</v>
      </c>
      <c r="B14" s="19" t="n">
        <f aca="false">SUMIFS(FichaTecnica_CustoTotal,FichaTecnica_Categoria,"Embalagens")</f>
        <v>9.85284</v>
      </c>
    </row>
    <row r="15" customFormat="false" ht="15" hidden="false" customHeight="true" outlineLevel="0" collapsed="false">
      <c r="A15" s="28" t="s">
        <v>142</v>
      </c>
      <c r="B15" s="19" t="n">
        <f aca="false">SUMIFS(FichaTecnica_CustoTotal,FichaTecnica_Categoria,"Consumíveis")</f>
        <v>4.1272</v>
      </c>
    </row>
    <row r="16" customFormat="false" ht="15" hidden="false" customHeight="true" outlineLevel="0" collapsed="false">
      <c r="A16" s="28" t="s">
        <v>146</v>
      </c>
      <c r="B16" s="19" t="n">
        <f aca="false">SUMIFS(FichaTecnica_CustoTotal,FichaTecnica_Categoria,"Bebidas")</f>
        <v>0</v>
      </c>
    </row>
    <row r="17" customFormat="false" ht="15" hidden="false" customHeight="true" outlineLevel="0" collapsed="false">
      <c r="A17" s="28" t="s">
        <v>155</v>
      </c>
      <c r="B17" s="19" t="n">
        <f aca="false">SUMIFS(FichaTecnica_CustoTotal,FichaTecnica_Categoria,"Limpeza")</f>
        <v>0</v>
      </c>
    </row>
    <row r="19" customFormat="false" ht="15" hidden="false" customHeight="true" outlineLevel="0" collapsed="false">
      <c r="A19" s="6" t="s">
        <v>285</v>
      </c>
    </row>
    <row r="20" customFormat="false" ht="15" hidden="false" customHeight="true" outlineLevel="0" collapsed="false">
      <c r="A20" s="55" t="s">
        <v>286</v>
      </c>
      <c r="B20" s="55" t="s">
        <v>287</v>
      </c>
    </row>
    <row r="21" customFormat="false" ht="15" hidden="false" customHeight="true" outlineLevel="0" collapsed="false">
      <c r="A21" s="28" t="s">
        <v>288</v>
      </c>
      <c r="B21" s="19" t="n">
        <f aca="false">SUMIF(Receitas_Produto,"&lt;&gt;",Receitas_CustoInsumosPerdas)</f>
        <v>366.802555114988</v>
      </c>
    </row>
    <row r="22" customFormat="false" ht="15" hidden="false" customHeight="true" outlineLevel="0" collapsed="false">
      <c r="A22" s="28" t="s">
        <v>289</v>
      </c>
      <c r="B22" s="19" t="n">
        <f aca="false">SUMIF(Receitas_Produto,"&lt;&gt;",Receitas_CustoFixo)</f>
        <v>429.680111111111</v>
      </c>
    </row>
    <row r="24" customFormat="false" ht="15" hidden="false" customHeight="true" outlineLevel="0" collapsed="false">
      <c r="A24" s="6" t="s">
        <v>290</v>
      </c>
    </row>
    <row r="25" customFormat="false" ht="15" hidden="false" customHeight="true" outlineLevel="0" collapsed="false">
      <c r="A25" s="55" t="s">
        <v>33</v>
      </c>
      <c r="B25" s="55" t="s">
        <v>228</v>
      </c>
      <c r="C25" s="55" t="s">
        <v>227</v>
      </c>
      <c r="D25" s="55" t="s">
        <v>220</v>
      </c>
      <c r="E25" s="55" t="s">
        <v>229</v>
      </c>
    </row>
    <row r="26" customFormat="false" ht="15" hidden="false" customHeight="true" outlineLevel="0" collapsed="false">
      <c r="A26" s="35" t="str">
        <f aca="false">Receitas!A5</f>
        <v>Açaí em Ondas 200ml</v>
      </c>
      <c r="B26" s="20" t="n">
        <f aca="false">Receitas!K5</f>
        <v>0.101590604912145</v>
      </c>
      <c r="C26" s="20" t="n">
        <f aca="false">Receitas!J5</f>
        <v>0.255049763266685</v>
      </c>
      <c r="D26" s="19" t="n">
        <f aca="false">Receitas!C5</f>
        <v>16.9</v>
      </c>
      <c r="E26" s="19" t="n">
        <f aca="false">Receitas!L5</f>
        <v>1.71688122301524</v>
      </c>
    </row>
    <row r="27" customFormat="false" ht="15" hidden="false" customHeight="true" outlineLevel="0" collapsed="false">
      <c r="A27" s="35" t="str">
        <f aca="false">Receitas!A6</f>
        <v>Açaí em Ondas 300ml</v>
      </c>
      <c r="B27" s="20" t="n">
        <f aca="false">Receitas!K6</f>
        <v>0.209577940229811</v>
      </c>
      <c r="C27" s="20" t="n">
        <f aca="false">Receitas!J6</f>
        <v>0.261916479954566</v>
      </c>
      <c r="D27" s="19" t="n">
        <f aca="false">Receitas!C6</f>
        <v>22.9</v>
      </c>
      <c r="E27" s="19" t="n">
        <f aca="false">Receitas!L6</f>
        <v>4.79933483126266</v>
      </c>
    </row>
    <row r="28" customFormat="false" ht="15" hidden="false" customHeight="true" outlineLevel="0" collapsed="false">
      <c r="A28" s="35" t="str">
        <f aca="false">Receitas!A7</f>
        <v>Açaí em Ondas 500ml</v>
      </c>
      <c r="B28" s="20" t="n">
        <f aca="false">Receitas!K7</f>
        <v>0.229406433345681</v>
      </c>
      <c r="C28" s="20" t="n">
        <f aca="false">Receitas!J7</f>
        <v>0.317825079103223</v>
      </c>
      <c r="D28" s="19" t="n">
        <f aca="false">Receitas!C7</f>
        <v>29.9</v>
      </c>
      <c r="E28" s="19" t="n">
        <f aca="false">Receitas!L7</f>
        <v>6.85925235703586</v>
      </c>
    </row>
    <row r="29" customFormat="false" ht="15" hidden="false" customHeight="true" outlineLevel="0" collapsed="false">
      <c r="A29" s="35" t="str">
        <f aca="false">Receitas!A8</f>
        <v>Fast Classic 200ml</v>
      </c>
      <c r="B29" s="20" t="n">
        <f aca="false">Receitas!K8</f>
        <v>0.0401924471618853</v>
      </c>
      <c r="C29" s="20" t="n">
        <f aca="false">Receitas!J8</f>
        <v>0.316447921016944</v>
      </c>
      <c r="D29" s="19" t="n">
        <f aca="false">Receitas!C8</f>
        <v>16.9</v>
      </c>
      <c r="E29" s="19" t="n">
        <f aca="false">Receitas!L8</f>
        <v>0.679252357035862</v>
      </c>
    </row>
    <row r="30" customFormat="false" ht="15" hidden="false" customHeight="true" outlineLevel="0" collapsed="false">
      <c r="A30" s="35" t="str">
        <f aca="false">Receitas!A9</f>
        <v>Fast Classic 300ml</v>
      </c>
      <c r="B30" s="20" t="n">
        <f aca="false">Receitas!K9</f>
        <v>0.164266636038571</v>
      </c>
      <c r="C30" s="20" t="n">
        <f aca="false">Receitas!J9</f>
        <v>0.307227784145805</v>
      </c>
      <c r="D30" s="19" t="n">
        <f aca="false">Receitas!C9</f>
        <v>22.9</v>
      </c>
      <c r="E30" s="19" t="n">
        <f aca="false">Receitas!L9</f>
        <v>3.76170596528328</v>
      </c>
    </row>
    <row r="31" customFormat="false" ht="15" hidden="false" customHeight="true" outlineLevel="0" collapsed="false">
      <c r="A31" s="35" t="str">
        <f aca="false">Receitas!A10</f>
        <v>Fast Classic 500ml</v>
      </c>
      <c r="B31" s="20" t="n">
        <f aca="false">Receitas!K10</f>
        <v>0.194703126791187</v>
      </c>
      <c r="C31" s="20" t="n">
        <f aca="false">Receitas!J10</f>
        <v>0.352528385657717</v>
      </c>
      <c r="D31" s="19" t="n">
        <f aca="false">Receitas!C10</f>
        <v>29.9</v>
      </c>
      <c r="E31" s="19" t="n">
        <f aca="false">Receitas!L10</f>
        <v>5.82162349105648</v>
      </c>
    </row>
    <row r="32" customFormat="false" ht="15" hidden="false" customHeight="true" outlineLevel="0" collapsed="false">
      <c r="A32" s="35" t="str">
        <f aca="false">Receitas!A11</f>
        <v>Power 200ml</v>
      </c>
      <c r="B32" s="20" t="n">
        <f aca="false">Receitas!K11</f>
        <v>0.0607256015570539</v>
      </c>
      <c r="C32" s="20" t="n">
        <f aca="false">Receitas!J11</f>
        <v>0.295914766621776</v>
      </c>
      <c r="D32" s="19" t="n">
        <f aca="false">Receitas!C11</f>
        <v>16.9</v>
      </c>
      <c r="E32" s="19" t="n">
        <f aca="false">Receitas!L11</f>
        <v>1.02626266631421</v>
      </c>
    </row>
    <row r="33" customFormat="false" ht="15" hidden="false" customHeight="true" outlineLevel="0" collapsed="false">
      <c r="A33" s="35" t="str">
        <f aca="false">Receitas!A12</f>
        <v>Power 300ml</v>
      </c>
      <c r="B33" s="20" t="n">
        <f aca="false">Receitas!K12</f>
        <v>0.179419924653347</v>
      </c>
      <c r="C33" s="20" t="n">
        <f aca="false">Receitas!J12</f>
        <v>0.29207449553103</v>
      </c>
      <c r="D33" s="19" t="n">
        <f aca="false">Receitas!C12</f>
        <v>22.9</v>
      </c>
      <c r="E33" s="19" t="n">
        <f aca="false">Receitas!L12</f>
        <v>4.10871627456164</v>
      </c>
    </row>
    <row r="34" customFormat="false" ht="15" hidden="false" customHeight="true" outlineLevel="0" collapsed="false">
      <c r="A34" s="35" t="str">
        <f aca="false">Receitas!A13</f>
        <v>Power 500ml</v>
      </c>
      <c r="B34" s="20" t="n">
        <f aca="false">Receitas!K13</f>
        <v>0.206308822753673</v>
      </c>
      <c r="C34" s="20" t="n">
        <f aca="false">Receitas!J13</f>
        <v>0.340922689695231</v>
      </c>
      <c r="D34" s="19" t="n">
        <f aca="false">Receitas!C13</f>
        <v>29.9</v>
      </c>
      <c r="E34" s="19" t="n">
        <f aca="false">Receitas!L13</f>
        <v>6.16863380033483</v>
      </c>
    </row>
    <row r="35" customFormat="false" ht="15" hidden="false" customHeight="true" outlineLevel="0" collapsed="false">
      <c r="A35" s="35" t="str">
        <f aca="false">Receitas!A14</f>
        <v>Choco Nuts 200ml</v>
      </c>
      <c r="B35" s="20" t="n">
        <f aca="false">Receitas!K14</f>
        <v>0.0188681483288938</v>
      </c>
      <c r="C35" s="20" t="n">
        <f aca="false">Receitas!J14</f>
        <v>0.337772219849936</v>
      </c>
      <c r="D35" s="19" t="n">
        <f aca="false">Receitas!C14</f>
        <v>16.9</v>
      </c>
      <c r="E35" s="19" t="n">
        <f aca="false">Receitas!L14</f>
        <v>0.318871706758304</v>
      </c>
    </row>
    <row r="36" customFormat="false" ht="15" hidden="false" customHeight="true" outlineLevel="0" collapsed="false">
      <c r="A36" s="35" t="str">
        <f aca="false">Receitas!A15</f>
        <v>Choco Nuts 300ml</v>
      </c>
      <c r="B36" s="20" t="n">
        <f aca="false">Receitas!K15</f>
        <v>0.148529489738241</v>
      </c>
      <c r="C36" s="20" t="n">
        <f aca="false">Receitas!J15</f>
        <v>0.322964930446135</v>
      </c>
      <c r="D36" s="19" t="n">
        <f aca="false">Receitas!C15</f>
        <v>22.9</v>
      </c>
      <c r="E36" s="19" t="n">
        <f aca="false">Receitas!L15</f>
        <v>3.40132531500573</v>
      </c>
    </row>
    <row r="37" customFormat="false" ht="15" hidden="false" customHeight="true" outlineLevel="0" collapsed="false">
      <c r="A37" s="35" t="str">
        <f aca="false">Receitas!A16</f>
        <v>Choco Nuts 500ml</v>
      </c>
      <c r="B37" s="20" t="n">
        <f aca="false">Receitas!K16</f>
        <v>0.182650262233409</v>
      </c>
      <c r="C37" s="20" t="n">
        <f aca="false">Receitas!J16</f>
        <v>0.364581250215495</v>
      </c>
      <c r="D37" s="19" t="n">
        <f aca="false">Receitas!C16</f>
        <v>29.9</v>
      </c>
      <c r="E37" s="19" t="n">
        <f aca="false">Receitas!L16</f>
        <v>5.46124284077892</v>
      </c>
    </row>
    <row r="38" customFormat="false" ht="15" hidden="false" customHeight="true" outlineLevel="0" collapsed="false">
      <c r="A38" s="35" t="str">
        <f aca="false">Receitas!A17</f>
        <v>Trupe Fast 200ml</v>
      </c>
      <c r="B38" s="20" t="n">
        <f aca="false">Receitas!K17</f>
        <v>0.123789104271627</v>
      </c>
      <c r="C38" s="20" t="n">
        <f aca="false">Receitas!J17</f>
        <v>0.232851263907202</v>
      </c>
      <c r="D38" s="19" t="n">
        <f aca="false">Receitas!C17</f>
        <v>16.9</v>
      </c>
      <c r="E38" s="19" t="n">
        <f aca="false">Receitas!L17</f>
        <v>2.0920358621905</v>
      </c>
    </row>
    <row r="39" customFormat="false" ht="15" hidden="false" customHeight="true" outlineLevel="0" collapsed="false">
      <c r="A39" s="35" t="str">
        <f aca="false">Receitas!A18</f>
        <v>Trupe Fast 300ml</v>
      </c>
      <c r="B39" s="20" t="n">
        <f aca="false">Receitas!K18</f>
        <v>0.225960238883752</v>
      </c>
      <c r="C39" s="20" t="n">
        <f aca="false">Receitas!J18</f>
        <v>0.245534181300624</v>
      </c>
      <c r="D39" s="19" t="n">
        <f aca="false">Receitas!C18</f>
        <v>22.9</v>
      </c>
      <c r="E39" s="19" t="n">
        <f aca="false">Receitas!L18</f>
        <v>5.17448947043792</v>
      </c>
    </row>
    <row r="40" customFormat="false" ht="15" hidden="false" customHeight="true" outlineLevel="0" collapsed="false">
      <c r="A40" s="35" t="str">
        <f aca="false">Receitas!A19</f>
        <v>Trupe Fast 500ml</v>
      </c>
      <c r="B40" s="20" t="n">
        <f aca="false">Receitas!K19</f>
        <v>0.241953411244519</v>
      </c>
      <c r="C40" s="20" t="n">
        <f aca="false">Receitas!J19</f>
        <v>0.305278101204385</v>
      </c>
      <c r="D40" s="19" t="n">
        <f aca="false">Receitas!C19</f>
        <v>29.9</v>
      </c>
      <c r="E40" s="19" t="n">
        <f aca="false">Receitas!L19</f>
        <v>7.23440699621112</v>
      </c>
    </row>
    <row r="41" customFormat="false" ht="15" hidden="false" customHeight="true" outlineLevel="0" collapsed="false">
      <c r="A41" s="35" t="str">
        <f aca="false">Receitas!A20</f>
        <v>Berry 200ml</v>
      </c>
      <c r="B41" s="20" t="n">
        <f aca="false">Receitas!K20</f>
        <v>0.0935932889846145</v>
      </c>
      <c r="C41" s="20" t="n">
        <f aca="false">Receitas!J20</f>
        <v>0.263047079194215</v>
      </c>
      <c r="D41" s="19" t="n">
        <f aca="false">Receitas!C20</f>
        <v>16.9</v>
      </c>
      <c r="E41" s="19" t="n">
        <f aca="false">Receitas!L20</f>
        <v>1.58172658383999</v>
      </c>
    </row>
    <row r="42" customFormat="false" ht="15" hidden="false" customHeight="true" outlineLevel="0" collapsed="false">
      <c r="A42" s="35" t="str">
        <f aca="false">Receitas!A21</f>
        <v>Berry 300ml</v>
      </c>
      <c r="B42" s="20" t="n">
        <f aca="false">Receitas!K21</f>
        <v>0.203675990920847</v>
      </c>
      <c r="C42" s="20" t="n">
        <f aca="false">Receitas!J21</f>
        <v>0.267818429263529</v>
      </c>
      <c r="D42" s="19" t="n">
        <f aca="false">Receitas!C21</f>
        <v>22.9</v>
      </c>
      <c r="E42" s="19" t="n">
        <f aca="false">Receitas!L21</f>
        <v>4.66418019208741</v>
      </c>
    </row>
    <row r="43" customFormat="false" ht="15" hidden="false" customHeight="true" outlineLevel="0" collapsed="false">
      <c r="A43" s="35" t="str">
        <f aca="false">Receitas!A22</f>
        <v>Berry 500ml</v>
      </c>
      <c r="B43" s="20" t="n">
        <f aca="false">Receitas!K22</f>
        <v>0.224886211299686</v>
      </c>
      <c r="C43" s="20" t="n">
        <f aca="false">Receitas!J22</f>
        <v>0.322345301149218</v>
      </c>
      <c r="D43" s="19" t="n">
        <f aca="false">Receitas!C22</f>
        <v>29.9</v>
      </c>
      <c r="E43" s="19" t="n">
        <f aca="false">Receitas!L22</f>
        <v>6.7240977178606</v>
      </c>
    </row>
    <row r="44" customFormat="false" ht="15" hidden="false" customHeight="true" outlineLevel="0" collapsed="false">
      <c r="A44" s="35" t="str">
        <f aca="false">Receitas!A23</f>
        <v>Granola Fit 200ml</v>
      </c>
      <c r="B44" s="20" t="n">
        <f aca="false">Receitas!K23</f>
        <v>0.0829241009165366</v>
      </c>
      <c r="C44" s="20" t="n">
        <f aca="false">Receitas!J23</f>
        <v>0.273716267262293</v>
      </c>
      <c r="D44" s="19" t="n">
        <f aca="false">Receitas!C23</f>
        <v>16.9</v>
      </c>
      <c r="E44" s="19" t="n">
        <f aca="false">Receitas!L23</f>
        <v>1.40141730548947</v>
      </c>
    </row>
    <row r="45" customFormat="false" ht="15" hidden="false" customHeight="true" outlineLevel="0" collapsed="false">
      <c r="A45" s="35" t="str">
        <f aca="false">Receitas!A24</f>
        <v>Granola Fit 300ml</v>
      </c>
      <c r="B45" s="20" t="n">
        <f aca="false">Receitas!K24</f>
        <v>0.195802223307288</v>
      </c>
      <c r="C45" s="20" t="n">
        <f aca="false">Receitas!J24</f>
        <v>0.275692196877089</v>
      </c>
      <c r="D45" s="19" t="n">
        <f aca="false">Receitas!C24</f>
        <v>22.9</v>
      </c>
      <c r="E45" s="19" t="n">
        <f aca="false">Receitas!L24</f>
        <v>4.48387091373689</v>
      </c>
    </row>
    <row r="46" customFormat="false" ht="15" hidden="false" customHeight="true" outlineLevel="0" collapsed="false">
      <c r="A46" s="35" t="str">
        <f aca="false">Receitas!A25</f>
        <v>Granola Fit 500ml</v>
      </c>
      <c r="B46" s="20" t="n">
        <f aca="false">Receitas!K25</f>
        <v>0.218855800652511</v>
      </c>
      <c r="C46" s="20" t="n">
        <f aca="false">Receitas!J25</f>
        <v>0.328375711796392</v>
      </c>
      <c r="D46" s="19" t="n">
        <f aca="false">Receitas!C25</f>
        <v>29.9</v>
      </c>
      <c r="E46" s="19" t="n">
        <f aca="false">Receitas!L25</f>
        <v>6.54378843951009</v>
      </c>
    </row>
    <row r="47" customFormat="false" ht="15" hidden="false" customHeight="true" outlineLevel="0" collapsed="false">
      <c r="A47" s="35" t="str">
        <f aca="false">Receitas!A26</f>
        <v>Fast Protein 200ml</v>
      </c>
      <c r="B47" s="20" t="n">
        <f aca="false">Receitas!K26</f>
        <v>0.0989919347480501</v>
      </c>
      <c r="C47" s="20" t="n">
        <f aca="false">Receitas!J26</f>
        <v>0.25764843343078</v>
      </c>
      <c r="D47" s="19" t="n">
        <f aca="false">Receitas!C26</f>
        <v>16.9</v>
      </c>
      <c r="E47" s="19" t="n">
        <f aca="false">Receitas!L26</f>
        <v>1.67296369724205</v>
      </c>
    </row>
    <row r="48" customFormat="false" ht="15" hidden="false" customHeight="true" outlineLevel="0" collapsed="false">
      <c r="A48" s="35" t="str">
        <f aca="false">Receitas!A27</f>
        <v>Fast Protein 300ml</v>
      </c>
      <c r="B48" s="20" t="n">
        <f aca="false">Receitas!K27</f>
        <v>0.207660144344518</v>
      </c>
      <c r="C48" s="20" t="n">
        <f aca="false">Receitas!J27</f>
        <v>0.263834275839858</v>
      </c>
      <c r="D48" s="19" t="n">
        <f aca="false">Receitas!C27</f>
        <v>22.9</v>
      </c>
      <c r="E48" s="19" t="n">
        <f aca="false">Receitas!L27</f>
        <v>4.75541730548947</v>
      </c>
    </row>
    <row r="49" customFormat="false" ht="15" hidden="false" customHeight="true" outlineLevel="0" collapsed="false">
      <c r="A49" s="35" t="str">
        <f aca="false">Receitas!A28</f>
        <v>Fast Protein 500ml</v>
      </c>
      <c r="B49" s="20" t="n">
        <f aca="false">Receitas!K28</f>
        <v>0.227937619774671</v>
      </c>
      <c r="C49" s="20" t="n">
        <f aca="false">Receitas!J28</f>
        <v>0.319293892674233</v>
      </c>
      <c r="D49" s="19" t="n">
        <f aca="false">Receitas!C28</f>
        <v>29.9</v>
      </c>
      <c r="E49" s="19" t="n">
        <f aca="false">Receitas!L28</f>
        <v>6.81533483126267</v>
      </c>
    </row>
    <row r="50" customFormat="false" ht="15" hidden="false" customHeight="true" outlineLevel="0" collapsed="false">
      <c r="A50" s="35" t="str">
        <f aca="false">Receitas!A29</f>
        <v>Berry Protein 200ml</v>
      </c>
      <c r="B50" s="20" t="n">
        <f aca="false">Receitas!K29</f>
        <v>0.0978164799338471</v>
      </c>
      <c r="C50" s="20" t="n">
        <f aca="false">Receitas!J29</f>
        <v>0.258823888244983</v>
      </c>
      <c r="D50" s="19" t="n">
        <f aca="false">Receitas!C29</f>
        <v>16.9</v>
      </c>
      <c r="E50" s="19" t="n">
        <f aca="false">Receitas!L29</f>
        <v>1.65309851088202</v>
      </c>
    </row>
    <row r="51" customFormat="false" ht="15" hidden="false" customHeight="true" outlineLevel="0" collapsed="false">
      <c r="A51" s="35" t="str">
        <f aca="false">Receitas!A30</f>
        <v>Berry Protein 300ml</v>
      </c>
      <c r="B51" s="20" t="n">
        <f aca="false">Receitas!K30</f>
        <v>0.206792668957617</v>
      </c>
      <c r="C51" s="20" t="n">
        <f aca="false">Receitas!J30</f>
        <v>0.264701751226759</v>
      </c>
      <c r="D51" s="19" t="n">
        <f aca="false">Receitas!C30</f>
        <v>22.9</v>
      </c>
      <c r="E51" s="19" t="n">
        <f aca="false">Receitas!L30</f>
        <v>4.73555211912944</v>
      </c>
    </row>
    <row r="52" customFormat="false" ht="15" hidden="false" customHeight="true" outlineLevel="0" collapsed="false">
      <c r="A52" s="35" t="str">
        <f aca="false">Receitas!A31</f>
        <v>Berry Protein 500ml</v>
      </c>
      <c r="B52" s="20" t="n">
        <f aca="false">Receitas!K31</f>
        <v>0.227273232270991</v>
      </c>
      <c r="C52" s="20" t="n">
        <f aca="false">Receitas!J31</f>
        <v>0.319958280177913</v>
      </c>
      <c r="D52" s="19" t="n">
        <f aca="false">Receitas!C31</f>
        <v>29.9</v>
      </c>
      <c r="E52" s="19" t="n">
        <f aca="false">Receitas!L31</f>
        <v>6.79546964490264</v>
      </c>
    </row>
    <row r="53" customFormat="false" ht="15" hidden="false" customHeight="true" outlineLevel="0" collapsed="false">
      <c r="A53" s="35" t="str">
        <f aca="false">Receitas!A32</f>
        <v>Nuts Protein 200ml</v>
      </c>
      <c r="B53" s="20" t="n">
        <f aca="false">Receitas!K32</f>
        <v>0.160390092498309</v>
      </c>
      <c r="C53" s="20" t="n">
        <f aca="false">Receitas!J32</f>
        <v>0.19625027568052</v>
      </c>
      <c r="D53" s="19" t="n">
        <f aca="false">Receitas!C32</f>
        <v>16.9</v>
      </c>
      <c r="E53" s="19" t="n">
        <f aca="false">Receitas!L32</f>
        <v>2.71059256322143</v>
      </c>
    </row>
    <row r="54" customFormat="false" ht="15" hidden="false" customHeight="true" outlineLevel="0" collapsed="false">
      <c r="A54" s="35" t="str">
        <f aca="false">Receitas!A33</f>
        <v>Nuts Protein 300ml</v>
      </c>
      <c r="B54" s="20" t="n">
        <f aca="false">Receitas!K33</f>
        <v>0.252971448535758</v>
      </c>
      <c r="C54" s="20" t="n">
        <f aca="false">Receitas!J33</f>
        <v>0.218522971648619</v>
      </c>
      <c r="D54" s="19" t="n">
        <f aca="false">Receitas!C33</f>
        <v>22.9</v>
      </c>
      <c r="E54" s="19" t="n">
        <f aca="false">Receitas!L33</f>
        <v>5.79304617146885</v>
      </c>
    </row>
    <row r="55" customFormat="false" ht="15" hidden="false" customHeight="true" outlineLevel="0" collapsed="false">
      <c r="A55" s="35" t="str">
        <f aca="false">Receitas!A34</f>
        <v>Nuts Protein 500ml</v>
      </c>
      <c r="B55" s="20" t="n">
        <f aca="false">Receitas!K34</f>
        <v>0.262640926329165</v>
      </c>
      <c r="C55" s="20" t="n">
        <f aca="false">Receitas!J34</f>
        <v>0.284590586119738</v>
      </c>
      <c r="D55" s="19" t="n">
        <f aca="false">Receitas!C34</f>
        <v>29.9</v>
      </c>
      <c r="E55" s="19" t="n">
        <f aca="false">Receitas!L34</f>
        <v>7.85296369724205</v>
      </c>
    </row>
    <row r="56" customFormat="false" ht="15" hidden="false" customHeight="true" outlineLevel="0" collapsed="false">
      <c r="A56" s="35" t="str">
        <f aca="false">Receitas!A35</f>
        <v>Açaí Zero Açúcar 250ml</v>
      </c>
      <c r="B56" s="20" t="n">
        <f aca="false">Receitas!K35</f>
        <v>-0.0691788186662682</v>
      </c>
      <c r="C56" s="20" t="n">
        <f aca="false">Receitas!J35</f>
        <v>0.542079784849843</v>
      </c>
      <c r="D56" s="19" t="n">
        <f aca="false">Receitas!C35</f>
        <v>23</v>
      </c>
      <c r="E56" s="19" t="n">
        <f aca="false">Receitas!L35</f>
        <v>-1.59111282932417</v>
      </c>
    </row>
    <row r="57" customFormat="false" ht="15" hidden="false" customHeight="true" outlineLevel="0" collapsed="false">
      <c r="A57" s="35" t="str">
        <f aca="false">Receitas!A36</f>
        <v>Açaí Zero Açúcar 500ml</v>
      </c>
      <c r="B57" s="20" t="n">
        <f aca="false">Receitas!K36</f>
        <v>0.163425679749201</v>
      </c>
      <c r="C57" s="20" t="n">
        <f aca="false">Receitas!J36</f>
        <v>0.436619641888226</v>
      </c>
      <c r="D57" s="19" t="n">
        <f aca="false">Receitas!C36</f>
        <v>38</v>
      </c>
      <c r="E57" s="19" t="n">
        <f aca="false">Receitas!L36</f>
        <v>6.21017583046965</v>
      </c>
    </row>
    <row r="58" customFormat="false" ht="15" hidden="false" customHeight="true" outlineLevel="0" collapsed="false">
      <c r="A58" s="35" t="str">
        <f aca="false">Receitas!A37</f>
        <v>Açaí Puro 250ml</v>
      </c>
      <c r="B58" s="20" t="n">
        <f aca="false">Receitas!K37</f>
        <v>-0.19468095329006</v>
      </c>
      <c r="C58" s="20" t="n">
        <f aca="false">Receitas!J37</f>
        <v>0.578109965635739</v>
      </c>
      <c r="D58" s="19" t="n">
        <f aca="false">Receitas!C37</f>
        <v>18</v>
      </c>
      <c r="E58" s="19" t="n">
        <f aca="false">Receitas!L37</f>
        <v>-3.50425715922108</v>
      </c>
    </row>
    <row r="59" customFormat="false" ht="15" hidden="false" customHeight="true" outlineLevel="0" collapsed="false">
      <c r="A59" s="35" t="str">
        <f aca="false">Receitas!A38</f>
        <v>Açaí Puro 500ml</v>
      </c>
      <c r="B59" s="20" t="n">
        <f aca="false">Receitas!K38</f>
        <v>-0.0402325939810476</v>
      </c>
      <c r="C59" s="20" t="n">
        <f aca="false">Receitas!J38</f>
        <v>0.565840674789129</v>
      </c>
      <c r="D59" s="19" t="n">
        <f aca="false">Receitas!C38</f>
        <v>27.5</v>
      </c>
      <c r="E59" s="19" t="n">
        <f aca="false">Receitas!L38</f>
        <v>-1.10639633447881</v>
      </c>
    </row>
    <row r="60" customFormat="false" ht="15" hidden="false" customHeight="true" outlineLevel="0" collapsed="false">
      <c r="A60" s="35" t="str">
        <f aca="false">Receitas!A39</f>
        <v>Açaí Banana 250ml</v>
      </c>
      <c r="B60" s="20" t="n">
        <f aca="false">Receitas!K39</f>
        <v>-0.19468095329006</v>
      </c>
      <c r="C60" s="20" t="n">
        <f aca="false">Receitas!J39</f>
        <v>0.578109965635739</v>
      </c>
      <c r="D60" s="19" t="n">
        <f aca="false">Receitas!C39</f>
        <v>18</v>
      </c>
      <c r="E60" s="19" t="n">
        <f aca="false">Receitas!L39</f>
        <v>-3.50425715922108</v>
      </c>
    </row>
    <row r="61" customFormat="false" ht="15" hidden="false" customHeight="true" outlineLevel="0" collapsed="false">
      <c r="A61" s="35" t="str">
        <f aca="false">Receitas!A40</f>
        <v>Açaí Banana 500ml</v>
      </c>
      <c r="B61" s="20" t="n">
        <f aca="false">Receitas!K40</f>
        <v>-0.0402325939810476</v>
      </c>
      <c r="C61" s="20" t="n">
        <f aca="false">Receitas!J40</f>
        <v>0.565840674789129</v>
      </c>
      <c r="D61" s="19" t="n">
        <f aca="false">Receitas!C40</f>
        <v>27.5</v>
      </c>
      <c r="E61" s="19" t="n">
        <f aca="false">Receitas!L40</f>
        <v>-1.10639633447881</v>
      </c>
    </row>
    <row r="62" customFormat="false" ht="15" hidden="false" customHeight="true" outlineLevel="0" collapsed="false">
      <c r="A62" s="35" t="str">
        <f aca="false">Receitas!A41</f>
        <v>Açaí Morango 250ml</v>
      </c>
      <c r="B62" s="20" t="n">
        <f aca="false">Receitas!K41</f>
        <v>-0.19468095329006</v>
      </c>
      <c r="C62" s="20" t="n">
        <f aca="false">Receitas!J41</f>
        <v>0.578109965635739</v>
      </c>
      <c r="D62" s="19" t="n">
        <f aca="false">Receitas!C41</f>
        <v>18</v>
      </c>
      <c r="E62" s="19" t="n">
        <f aca="false">Receitas!L41</f>
        <v>-3.50425715922108</v>
      </c>
    </row>
    <row r="63" customFormat="false" ht="15" hidden="false" customHeight="true" outlineLevel="0" collapsed="false">
      <c r="A63" s="35" t="str">
        <f aca="false">Receitas!A42</f>
        <v>Açaí Morango 500ml</v>
      </c>
      <c r="B63" s="20" t="n">
        <f aca="false">Receitas!K42</f>
        <v>-0.0402325939810476</v>
      </c>
      <c r="C63" s="20" t="n">
        <f aca="false">Receitas!J42</f>
        <v>0.565840674789129</v>
      </c>
      <c r="D63" s="19" t="n">
        <f aca="false">Receitas!C42</f>
        <v>27.5</v>
      </c>
      <c r="E63" s="19" t="n">
        <f aca="false">Receitas!L42</f>
        <v>-1.10639633447881</v>
      </c>
    </row>
    <row r="64" customFormat="false" ht="15" hidden="false" customHeight="true" outlineLevel="0" collapsed="false">
      <c r="A64" s="35" t="str">
        <f aca="false">Receitas!A43</f>
        <v>Açaí Tradicional 200ml</v>
      </c>
      <c r="B64" s="20" t="n">
        <f aca="false">Receitas!K43</f>
        <v>0.164613283447542</v>
      </c>
      <c r="C64" s="20" t="n">
        <f aca="false">Receitas!J43</f>
        <v>0.192027084731288</v>
      </c>
      <c r="D64" s="19" t="n">
        <f aca="false">Receitas!C43</f>
        <v>16.9</v>
      </c>
      <c r="E64" s="19" t="n">
        <f aca="false">Receitas!L43</f>
        <v>2.78196449026346</v>
      </c>
    </row>
    <row r="65" customFormat="false" ht="15" hidden="false" customHeight="true" outlineLevel="0" collapsed="false">
      <c r="A65" s="35" t="str">
        <f aca="false">Receitas!A44</f>
        <v>Açaí Tradicional 300ml</v>
      </c>
      <c r="B65" s="20" t="n">
        <f aca="false">Receitas!K44</f>
        <v>0.256088126572528</v>
      </c>
      <c r="C65" s="20" t="n">
        <f aca="false">Receitas!J44</f>
        <v>0.215406293611849</v>
      </c>
      <c r="D65" s="19" t="n">
        <f aca="false">Receitas!C44</f>
        <v>22.9</v>
      </c>
      <c r="E65" s="19" t="n">
        <f aca="false">Receitas!L44</f>
        <v>5.86441809851088</v>
      </c>
    </row>
    <row r="66" customFormat="false" ht="15" hidden="false" customHeight="true" outlineLevel="0" collapsed="false">
      <c r="A66" s="35" t="str">
        <f aca="false">Receitas!A45</f>
        <v>Açaí Tradicional 500ml</v>
      </c>
      <c r="B66" s="20" t="n">
        <f aca="false">Receitas!K45</f>
        <v>0.265027947300471</v>
      </c>
      <c r="C66" s="20" t="n">
        <f aca="false">Receitas!J45</f>
        <v>0.282203565148433</v>
      </c>
      <c r="D66" s="19" t="n">
        <f aca="false">Receitas!C45</f>
        <v>29.9</v>
      </c>
      <c r="E66" s="19" t="n">
        <f aca="false">Receitas!L45</f>
        <v>7.92433562428408</v>
      </c>
    </row>
    <row r="67" customFormat="false" ht="15" hidden="false" customHeight="true" outlineLevel="0" collapsed="false">
      <c r="A67" s="35" t="str">
        <f aca="false">Receitas!A46</f>
        <v>Cupuaçu Tradicional 200ml</v>
      </c>
      <c r="B67" s="20" t="n">
        <f aca="false">Receitas!K46</f>
        <v>0.164613283447542</v>
      </c>
      <c r="C67" s="20" t="n">
        <f aca="false">Receitas!J46</f>
        <v>0.192027084731288</v>
      </c>
      <c r="D67" s="19" t="n">
        <f aca="false">Receitas!C46</f>
        <v>16.9</v>
      </c>
      <c r="E67" s="19" t="n">
        <f aca="false">Receitas!L46</f>
        <v>2.78196449026346</v>
      </c>
    </row>
    <row r="68" customFormat="false" ht="15" hidden="false" customHeight="true" outlineLevel="0" collapsed="false">
      <c r="A68" s="35" t="str">
        <f aca="false">Receitas!A47</f>
        <v>Cupuaçu Tradicional 300ml</v>
      </c>
      <c r="B68" s="20" t="n">
        <f aca="false">Receitas!K47</f>
        <v>0.256088126572528</v>
      </c>
      <c r="C68" s="20" t="n">
        <f aca="false">Receitas!J47</f>
        <v>0.215406293611849</v>
      </c>
      <c r="D68" s="19" t="n">
        <f aca="false">Receitas!C47</f>
        <v>22.9</v>
      </c>
      <c r="E68" s="19" t="n">
        <f aca="false">Receitas!L47</f>
        <v>5.86441809851088</v>
      </c>
    </row>
    <row r="69" customFormat="false" ht="15" hidden="false" customHeight="true" outlineLevel="0" collapsed="false">
      <c r="A69" s="35" t="str">
        <f aca="false">Receitas!A48</f>
        <v>Cupuaçu Tradicional 500ml</v>
      </c>
      <c r="B69" s="20" t="n">
        <f aca="false">Receitas!K48</f>
        <v>0.265027947300471</v>
      </c>
      <c r="C69" s="20" t="n">
        <f aca="false">Receitas!J48</f>
        <v>0.282203565148433</v>
      </c>
      <c r="D69" s="19" t="n">
        <f aca="false">Receitas!C48</f>
        <v>29.9</v>
      </c>
      <c r="E69" s="19" t="n">
        <f aca="false">Receitas!L48</f>
        <v>7.92433562428408</v>
      </c>
    </row>
    <row r="70" customFormat="false" ht="15" hidden="false" customHeight="true" outlineLevel="0" collapsed="false">
      <c r="A70" s="35" t="str">
        <f aca="false">Receitas!A49</f>
        <v>Milkshake Morango</v>
      </c>
      <c r="B70" s="20" t="n">
        <f aca="false">Receitas!K49</f>
        <v>0.220834510627466</v>
      </c>
      <c r="C70" s="20" t="n">
        <f aca="false">Receitas!J49</f>
        <v>0.162594501718213</v>
      </c>
      <c r="D70" s="19" t="n">
        <f aca="false">Receitas!C49</f>
        <v>18</v>
      </c>
      <c r="E70" s="19" t="n">
        <f aca="false">Receitas!L49</f>
        <v>3.97502119129439</v>
      </c>
    </row>
    <row r="71" customFormat="false" ht="15" hidden="false" customHeight="true" outlineLevel="0" collapsed="false">
      <c r="A71" s="35" t="str">
        <f aca="false">Receitas!A50</f>
        <v>Milkshake Maracujá</v>
      </c>
      <c r="B71" s="20" t="n">
        <f aca="false">Receitas!K50</f>
        <v>0.220834510627466</v>
      </c>
      <c r="C71" s="20" t="n">
        <f aca="false">Receitas!J50</f>
        <v>0.162594501718213</v>
      </c>
      <c r="D71" s="19" t="n">
        <f aca="false">Receitas!C50</f>
        <v>18</v>
      </c>
      <c r="E71" s="19" t="n">
        <f aca="false">Receitas!L50</f>
        <v>3.97502119129439</v>
      </c>
    </row>
    <row r="72" customFormat="false" ht="15" hidden="false" customHeight="true" outlineLevel="0" collapsed="false">
      <c r="A72" s="35" t="str">
        <f aca="false">Receitas!A51</f>
        <v>Milkshake Leite em Pó com Nutella</v>
      </c>
      <c r="B72" s="20" t="n">
        <f aca="false">Receitas!K51</f>
        <v>0.22636961626575</v>
      </c>
      <c r="C72" s="20" t="n">
        <f aca="false">Receitas!J51</f>
        <v>0.198216494845361</v>
      </c>
      <c r="D72" s="19" t="n">
        <f aca="false">Receitas!C51</f>
        <v>20</v>
      </c>
      <c r="E72" s="19" t="n">
        <f aca="false">Receitas!L51</f>
        <v>4.52739232531501</v>
      </c>
    </row>
    <row r="73" customFormat="false" ht="15" hidden="false" customHeight="true" outlineLevel="0" collapsed="false">
      <c r="A73" s="35" t="str">
        <f aca="false">Receitas!A52</f>
        <v>Milkshake Crocante com Ovomaltine</v>
      </c>
      <c r="B73" s="20" t="n">
        <f aca="false">Receitas!K52</f>
        <v>0.195983018327606</v>
      </c>
      <c r="C73" s="20" t="n">
        <f aca="false">Receitas!J52</f>
        <v>0.228603092783505</v>
      </c>
      <c r="D73" s="19" t="n">
        <f aca="false">Receitas!C52</f>
        <v>20</v>
      </c>
      <c r="E73" s="19" t="n">
        <f aca="false">Receitas!L52</f>
        <v>3.91966036655212</v>
      </c>
    </row>
    <row r="74" customFormat="false" ht="15" hidden="false" customHeight="true" outlineLevel="0" collapsed="false">
      <c r="A74" s="35" t="str">
        <f aca="false">Receitas!A53</f>
        <v>Power Shake</v>
      </c>
      <c r="B74" s="20" t="n">
        <f aca="false">Receitas!K53</f>
        <v>0.265720269707383</v>
      </c>
      <c r="C74" s="20" t="n">
        <f aca="false">Receitas!J53</f>
        <v>0.192539831302718</v>
      </c>
      <c r="D74" s="19" t="n">
        <f aca="false">Receitas!C53</f>
        <v>22</v>
      </c>
      <c r="E74" s="19" t="n">
        <f aca="false">Receitas!L53</f>
        <v>5.84584593356243</v>
      </c>
    </row>
    <row r="75" customFormat="false" ht="15" hidden="false" customHeight="true" outlineLevel="0" collapsed="false">
      <c r="A75" s="35" t="str">
        <f aca="false">Receitas!A54</f>
        <v>Protein Shake</v>
      </c>
      <c r="B75" s="20" t="n">
        <f aca="false">Receitas!K54</f>
        <v>0.3643758829706</v>
      </c>
      <c r="C75" s="20" t="n">
        <f aca="false">Receitas!J54</f>
        <v>0.12194587628866</v>
      </c>
      <c r="D75" s="19" t="n">
        <f aca="false">Receitas!C54</f>
        <v>24</v>
      </c>
      <c r="E75" s="19" t="n">
        <f aca="false">Receitas!L54</f>
        <v>8.74502119129439</v>
      </c>
    </row>
    <row r="76" customFormat="false" ht="15" hidden="false" customHeight="true" outlineLevel="0" collapsed="false">
      <c r="A76" s="35" t="str">
        <f aca="false">Receitas!A55</f>
        <v>Água sem Gás 500ml</v>
      </c>
      <c r="B76" s="20" t="n">
        <f aca="false">Receitas!K55</f>
        <v>-1.05706944444444</v>
      </c>
      <c r="C76" s="20" t="n">
        <f aca="false">Receitas!J55</f>
        <v>0</v>
      </c>
      <c r="D76" s="19" t="n">
        <f aca="false">Receitas!C55</f>
        <v>4</v>
      </c>
      <c r="E76" s="19" t="n">
        <f aca="false">Receitas!L55</f>
        <v>-4.22827777777778</v>
      </c>
    </row>
    <row r="77" customFormat="false" ht="15" hidden="false" customHeight="true" outlineLevel="0" collapsed="false">
      <c r="A77" s="35" t="str">
        <f aca="false">Receitas!A56</f>
        <v>Água com Gás 500ml</v>
      </c>
      <c r="B77" s="20" t="n">
        <f aca="false">Receitas!K56</f>
        <v>-0.851283950617284</v>
      </c>
      <c r="C77" s="20" t="n">
        <f aca="false">Receitas!J56</f>
        <v>0</v>
      </c>
      <c r="D77" s="19" t="n">
        <f aca="false">Receitas!C56</f>
        <v>4.5</v>
      </c>
      <c r="E77" s="19" t="n">
        <f aca="false">Receitas!L56</f>
        <v>-3.83077777777778</v>
      </c>
    </row>
    <row r="78" customFormat="false" ht="15" hidden="false" customHeight="true" outlineLevel="0" collapsed="false">
      <c r="A78" s="35" t="str">
        <f aca="false">Receitas!A57</f>
        <v>Água de Coco 200ml</v>
      </c>
      <c r="B78" s="20" t="n">
        <f aca="false">Receitas!K57</f>
        <v>-1.32165079365079</v>
      </c>
      <c r="C78" s="20" t="n">
        <f aca="false">Receitas!J57</f>
        <v>0</v>
      </c>
      <c r="D78" s="19" t="n">
        <f aca="false">Receitas!C57</f>
        <v>3.5</v>
      </c>
      <c r="E78" s="19" t="n">
        <f aca="false">Receitas!L57</f>
        <v>-4.62577777777778</v>
      </c>
    </row>
    <row r="79" customFormat="false" ht="15" hidden="false" customHeight="true" outlineLevel="0" collapsed="false">
      <c r="A79" s="35" t="str">
        <f aca="false">Receitas!A58</f>
        <v>Refrigerante Lata 350ml</v>
      </c>
      <c r="B79" s="20" t="n">
        <f aca="false">Receitas!K58</f>
        <v>-1.67442592592593</v>
      </c>
      <c r="C79" s="20" t="n">
        <f aca="false">Receitas!J58</f>
        <v>0</v>
      </c>
      <c r="D79" s="19" t="n">
        <f aca="false">Receitas!C58</f>
        <v>3</v>
      </c>
      <c r="E79" s="19" t="n">
        <f aca="false">Receitas!L58</f>
        <v>-5.02327777777778</v>
      </c>
    </row>
    <row r="80" customFormat="false" ht="15" hidden="false" customHeight="true" outlineLevel="0" collapsed="false">
      <c r="A80" s="35" t="str">
        <f aca="false">Receitas!A59</f>
        <v>Refrigerante 600ml</v>
      </c>
      <c r="B80" s="20" t="n">
        <f aca="false">Receitas!K59</f>
        <v>-0.686655555555556</v>
      </c>
      <c r="C80" s="20" t="n">
        <f aca="false">Receitas!J59</f>
        <v>0</v>
      </c>
      <c r="D80" s="19" t="n">
        <f aca="false">Receitas!C59</f>
        <v>5</v>
      </c>
      <c r="E80" s="19" t="n">
        <f aca="false">Receitas!L59</f>
        <v>-3.43327777777778</v>
      </c>
    </row>
    <row r="81" customFormat="false" ht="15" hidden="false" customHeight="true" outlineLevel="0" collapsed="false">
      <c r="A81" s="35" t="str">
        <f aca="false">Receitas!A60</f>
        <v>Isotônico 500ml</v>
      </c>
      <c r="B81" s="20" t="n">
        <f aca="false">Receitas!K60</f>
        <v>-0.439712962962963</v>
      </c>
      <c r="C81" s="20" t="n">
        <f aca="false">Receitas!J60</f>
        <v>0</v>
      </c>
      <c r="D81" s="19" t="n">
        <f aca="false">Receitas!C60</f>
        <v>6</v>
      </c>
      <c r="E81" s="19" t="n">
        <f aca="false">Receitas!L60</f>
        <v>-2.63827777777778</v>
      </c>
    </row>
    <row r="82" customFormat="false" ht="15" hidden="false" customHeight="true" outlineLevel="0" collapsed="false">
      <c r="A82" s="35" t="str">
        <f aca="false">Receitas!A61</f>
        <v>Suco Natural 300ml</v>
      </c>
      <c r="B82" s="20" t="n">
        <f aca="false">Receitas!K61</f>
        <v>-0.131034722222222</v>
      </c>
      <c r="C82" s="20" t="n">
        <f aca="false">Receitas!J61</f>
        <v>0</v>
      </c>
      <c r="D82" s="19" t="n">
        <f aca="false">Receitas!C61</f>
        <v>8</v>
      </c>
      <c r="E82" s="19" t="n">
        <f aca="false">Receitas!L61</f>
        <v>-1.04827777777778</v>
      </c>
    </row>
    <row r="83" customFormat="false" ht="15" hidden="false" customHeight="true" outlineLevel="0" collapsed="false">
      <c r="A83" s="35" t="str">
        <f aca="false">Receitas!A62</f>
        <v>Suco de Açaí 200ml</v>
      </c>
      <c r="B83" s="20" t="n">
        <f aca="false">Receitas!K62</f>
        <v>-0.439712962962963</v>
      </c>
      <c r="C83" s="20" t="n">
        <f aca="false">Receitas!J62</f>
        <v>0</v>
      </c>
      <c r="D83" s="19" t="n">
        <f aca="false">Receitas!C62</f>
        <v>6</v>
      </c>
      <c r="E83" s="19" t="n">
        <f aca="false">Receitas!L62</f>
        <v>-2.63827777777778</v>
      </c>
    </row>
  </sheetData>
  <mergeCells count="10">
    <mergeCell ref="A1:H1"/>
    <mergeCell ref="A2:H2"/>
    <mergeCell ref="A4:B4"/>
    <mergeCell ref="D4:E4"/>
    <mergeCell ref="G4:H4"/>
    <mergeCell ref="J4:K4"/>
    <mergeCell ref="A5:B6"/>
    <mergeCell ref="D5:E6"/>
    <mergeCell ref="G5:H6"/>
    <mergeCell ref="J5:K6"/>
  </mergeCells>
  <conditionalFormatting sqref="E26:E83">
    <cfRule type="expression" priority="2" aboveAverage="0" equalAverage="0" bottom="0" percent="0" rank="0" text="" dxfId="0">
      <formula>E26=MAX($E$26:$E$83)</formula>
    </cfRule>
    <cfRule type="expression" priority="3" aboveAverage="0" equalAverage="0" bottom="0" percent="0" rank="0" text="" dxfId="2">
      <formula>E26=MIN($E$26:$E$83)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1457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0"/>
    <col collapsed="false" customWidth="true" hidden="false" outlineLevel="0" max="4" min="4" style="1" width="46"/>
  </cols>
  <sheetData>
    <row r="1" customFormat="false" ht="25.5" hidden="false" customHeight="true" outlineLevel="0" collapsed="false">
      <c r="A1" s="13" t="s">
        <v>291</v>
      </c>
      <c r="B1" s="13"/>
      <c r="C1" s="13"/>
      <c r="D1" s="13"/>
    </row>
    <row r="2" customFormat="false" ht="30" hidden="false" customHeight="true" outlineLevel="0" collapsed="false">
      <c r="A2" s="14" t="s">
        <v>292</v>
      </c>
      <c r="B2" s="14"/>
      <c r="C2" s="14"/>
      <c r="D2" s="14"/>
    </row>
    <row r="4" customFormat="false" ht="15" hidden="false" customHeight="true" outlineLevel="0" collapsed="false">
      <c r="A4" s="6" t="s">
        <v>293</v>
      </c>
      <c r="B4" s="56" t="s">
        <v>175</v>
      </c>
      <c r="C4" s="56"/>
    </row>
    <row r="6" customFormat="false" ht="30" hidden="false" customHeight="true" outlineLevel="0" collapsed="false">
      <c r="A6" s="21" t="s">
        <v>294</v>
      </c>
      <c r="B6" s="21" t="s">
        <v>295</v>
      </c>
      <c r="C6" s="21" t="s">
        <v>296</v>
      </c>
      <c r="D6" s="21" t="s">
        <v>55</v>
      </c>
    </row>
    <row r="7" customFormat="false" ht="15" hidden="false" customHeight="true" outlineLevel="0" collapsed="false">
      <c r="A7" s="18" t="s">
        <v>88</v>
      </c>
      <c r="B7" s="40" t="n">
        <f aca="false">IFERROR(INDEX(Insumos_CustoUnit,MATCH("Açaí",Insumos_Ingrediente,0)),0)</f>
        <v>0.0165</v>
      </c>
      <c r="C7" s="57" t="n">
        <f aca="false">B7</f>
        <v>0.0165</v>
      </c>
      <c r="D7" s="26"/>
    </row>
    <row r="8" customFormat="false" ht="15" hidden="false" customHeight="true" outlineLevel="0" collapsed="false">
      <c r="A8" s="18" t="s">
        <v>100</v>
      </c>
      <c r="B8" s="40" t="n">
        <f aca="false">IFERROR(INDEX(Insumos_CustoUnit,MATCH("Banana",Insumos_Ingrediente,0)),0)</f>
        <v>0.00230769230769231</v>
      </c>
      <c r="C8" s="57" t="n">
        <f aca="false">B8</f>
        <v>0.00230769230769231</v>
      </c>
      <c r="D8" s="26"/>
    </row>
    <row r="9" customFormat="false" ht="15" hidden="false" customHeight="true" outlineLevel="0" collapsed="false">
      <c r="A9" s="18" t="s">
        <v>114</v>
      </c>
      <c r="B9" s="40" t="n">
        <f aca="false">IFERROR(INDEX(Insumos_CustoUnit,MATCH("Whey Protein",Insumos_Ingrediente,0)),0)</f>
        <v>0</v>
      </c>
      <c r="C9" s="57" t="n">
        <f aca="false">B9</f>
        <v>0</v>
      </c>
      <c r="D9" s="26"/>
    </row>
    <row r="10" customFormat="false" ht="15" hidden="false" customHeight="true" outlineLevel="0" collapsed="false">
      <c r="A10" s="18" t="s">
        <v>297</v>
      </c>
      <c r="B10" s="40" t="n">
        <f aca="false">IFERROR(SUMPRODUCT((FichaTecnica_Produto=$B$4)*(FichaTecnica_FlagEmbalagem=1)*FichaTecnica_CustoUnit)/SUMPRODUCT((FichaTecnica_Produto=$B$4)*(FichaTecnica_FlagEmbalagem=1)),0)</f>
        <v>0.1668</v>
      </c>
      <c r="C10" s="57" t="n">
        <f aca="false">B10</f>
        <v>0.1668</v>
      </c>
      <c r="D10" s="26" t="s">
        <v>298</v>
      </c>
    </row>
    <row r="12" customFormat="false" ht="30" hidden="false" customHeight="true" outlineLevel="0" collapsed="false">
      <c r="A12" s="21" t="s">
        <v>299</v>
      </c>
      <c r="B12" s="21" t="s">
        <v>300</v>
      </c>
      <c r="C12" s="21" t="s">
        <v>301</v>
      </c>
      <c r="D12" s="21" t="s">
        <v>302</v>
      </c>
    </row>
    <row r="13" customFormat="false" ht="15" hidden="false" customHeight="true" outlineLevel="0" collapsed="false">
      <c r="A13" s="28" t="s">
        <v>223</v>
      </c>
      <c r="B13" s="19" t="n">
        <f aca="false">IFERROR(INDEX(Receitas_CustoInsumosPerdas,MATCH($B$4,Receitas_Produto,0)),0)</f>
        <v>4.31034099920698</v>
      </c>
      <c r="C13" s="19" t="n">
        <f aca="false">IFERROR(SUMPRODUCT((FichaTecnica_Produto=$B$4)*(FichaTecnica_CustoUnit*FichaTecnica_Qtd+FichaTecnica_FlagAcai*FichaTecnica_Qtd*($C$7-FichaTecnica_CustoUnit)+FichaTecnica_FlagBanana*FichaTecnica_Qtd*($C$8-FichaTecnica_CustoUnit)+FichaTecnica_FlagWhey*FichaTecnica_Qtd*($C$9-FichaTecnica_CustoUnit)+FichaTecnica_FlagEmbalagem*FichaTecnica_Qtd*($C$10-FichaTecnica_CustoUnit)))/(1-Perdas),0)</f>
        <v>4.31034099920698</v>
      </c>
      <c r="D13" s="19" t="n">
        <f aca="false">C13-B13</f>
        <v>0</v>
      </c>
    </row>
    <row r="14" customFormat="false" ht="15" hidden="false" customHeight="true" outlineLevel="0" collapsed="false">
      <c r="A14" s="28" t="s">
        <v>265</v>
      </c>
      <c r="B14" s="41" t="n">
        <f aca="false">IFERROR(INDEX(Receitas_CustoFixo,MATCH($B$4,Receitas_Produto,0)),0)</f>
        <v>7.40827777777778</v>
      </c>
      <c r="C14" s="19" t="n">
        <f aca="false">B14</f>
        <v>7.40827777777778</v>
      </c>
      <c r="D14" s="19" t="n">
        <f aca="false">C14-B14</f>
        <v>0</v>
      </c>
    </row>
    <row r="15" customFormat="false" ht="15" hidden="false" customHeight="true" outlineLevel="0" collapsed="false">
      <c r="A15" s="18" t="s">
        <v>225</v>
      </c>
      <c r="B15" s="19" t="n">
        <f aca="false">B13+B14</f>
        <v>11.7186187769848</v>
      </c>
      <c r="C15" s="19" t="n">
        <f aca="false">C13+C14</f>
        <v>11.7186187769848</v>
      </c>
      <c r="D15" s="19" t="n">
        <f aca="false">C15-B15</f>
        <v>0</v>
      </c>
    </row>
    <row r="16" customFormat="false" ht="15" hidden="false" customHeight="true" outlineLevel="0" collapsed="false">
      <c r="A16" s="18" t="s">
        <v>267</v>
      </c>
      <c r="B16" s="58" t="n">
        <f aca="false">IFERROR(B15/(1-MargemLiquidaDesejada-Impostos-TaxaCartao-Comissao),0)</f>
        <v>18.1684012046275</v>
      </c>
      <c r="C16" s="58" t="n">
        <f aca="false">IFERROR(C15/(1-MargemLiquidaDesejada-Impostos-TaxaCartao-Comissao),0)</f>
        <v>18.1684012046275</v>
      </c>
      <c r="D16" s="19" t="n">
        <f aca="false">C16-B16</f>
        <v>0</v>
      </c>
    </row>
    <row r="17" customFormat="false" ht="15" hidden="false" customHeight="true" outlineLevel="0" collapsed="false">
      <c r="A17" s="28" t="s">
        <v>39</v>
      </c>
      <c r="B17" s="20" t="n">
        <f aca="false">IFERROR(B13/B16,"")</f>
        <v>0.237243825180893</v>
      </c>
      <c r="C17" s="20" t="n">
        <f aca="false">IFERROR(C13/C16,"")</f>
        <v>0.237243825180893</v>
      </c>
      <c r="D17" s="20" t="n">
        <f aca="false">IF(OR(B17="",C17=""),"",C17-B17)</f>
        <v>0</v>
      </c>
    </row>
    <row r="18" customFormat="false" ht="15" hidden="false" customHeight="true" outlineLevel="0" collapsed="false">
      <c r="A18" s="18" t="s">
        <v>303</v>
      </c>
      <c r="B18" s="20" t="n">
        <f aca="false">IFERROR((B16-B15-B16*(Impostos+TaxaCartao+Comissao))/B16,"")</f>
        <v>0.15</v>
      </c>
      <c r="C18" s="20" t="n">
        <f aca="false">IFERROR((C16-C15-C16*(Impostos+TaxaCartao+Comissao))/C16,"")</f>
        <v>0.15</v>
      </c>
      <c r="D18" s="20" t="n">
        <f aca="false">IF(OR(B18="",C18=""),"",C18-B18)</f>
        <v>0</v>
      </c>
    </row>
  </sheetData>
  <mergeCells count="3">
    <mergeCell ref="A1:D1"/>
    <mergeCell ref="A2:D2"/>
    <mergeCell ref="B4:C4"/>
  </mergeCells>
  <dataValidations count="1">
    <dataValidation allowBlank="true" errorStyle="warning" operator="between" showDropDown="false" showErrorMessage="true" showInputMessage="false" sqref="B4" type="list">
      <formula1>Listas_Produtos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9E9E"/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2"/>
  </cols>
  <sheetData>
    <row r="1" customFormat="false" ht="15" hidden="false" customHeight="true" outlineLevel="0" collapsed="false">
      <c r="A1" s="6" t="s">
        <v>304</v>
      </c>
      <c r="B1" s="6" t="s">
        <v>305</v>
      </c>
      <c r="C1" s="6" t="s">
        <v>86</v>
      </c>
    </row>
    <row r="2" customFormat="false" ht="15" hidden="false" customHeight="true" outlineLevel="0" collapsed="false">
      <c r="A2" s="1" t="s">
        <v>175</v>
      </c>
      <c r="B2" s="1" t="s">
        <v>89</v>
      </c>
      <c r="C2" s="1" t="s">
        <v>92</v>
      </c>
    </row>
    <row r="3" customFormat="false" ht="15" hidden="false" customHeight="true" outlineLevel="0" collapsed="false">
      <c r="A3" s="1" t="s">
        <v>176</v>
      </c>
      <c r="B3" s="1" t="s">
        <v>97</v>
      </c>
      <c r="C3" s="1" t="s">
        <v>306</v>
      </c>
    </row>
    <row r="4" customFormat="false" ht="15" hidden="false" customHeight="true" outlineLevel="0" collapsed="false">
      <c r="A4" s="1" t="s">
        <v>177</v>
      </c>
      <c r="B4" s="1" t="s">
        <v>132</v>
      </c>
    </row>
    <row r="5" customFormat="false" ht="15" hidden="false" customHeight="true" outlineLevel="0" collapsed="false">
      <c r="A5" s="1" t="s">
        <v>178</v>
      </c>
      <c r="B5" s="1" t="s">
        <v>121</v>
      </c>
    </row>
    <row r="6" customFormat="false" ht="15" hidden="false" customHeight="true" outlineLevel="0" collapsed="false">
      <c r="A6" s="1" t="s">
        <v>179</v>
      </c>
      <c r="B6" s="1" t="s">
        <v>142</v>
      </c>
    </row>
    <row r="7" customFormat="false" ht="15" hidden="false" customHeight="true" outlineLevel="0" collapsed="false">
      <c r="A7" s="1" t="s">
        <v>180</v>
      </c>
      <c r="B7" s="1" t="s">
        <v>146</v>
      </c>
    </row>
    <row r="8" customFormat="false" ht="15" hidden="false" customHeight="true" outlineLevel="0" collapsed="false">
      <c r="A8" s="1" t="s">
        <v>181</v>
      </c>
      <c r="B8" s="1" t="s">
        <v>155</v>
      </c>
    </row>
    <row r="9" customFormat="false" ht="15" hidden="false" customHeight="true" outlineLevel="0" collapsed="false">
      <c r="A9" s="1" t="s">
        <v>182</v>
      </c>
    </row>
    <row r="10" customFormat="false" ht="15" hidden="false" customHeight="true" outlineLevel="0" collapsed="false">
      <c r="A10" s="1" t="s">
        <v>183</v>
      </c>
    </row>
    <row r="11" customFormat="false" ht="15" hidden="false" customHeight="true" outlineLevel="0" collapsed="false">
      <c r="A11" s="1" t="s">
        <v>184</v>
      </c>
    </row>
    <row r="12" customFormat="false" ht="15" hidden="false" customHeight="true" outlineLevel="0" collapsed="false">
      <c r="A12" s="1" t="s">
        <v>185</v>
      </c>
    </row>
    <row r="13" customFormat="false" ht="15" hidden="false" customHeight="true" outlineLevel="0" collapsed="false">
      <c r="A13" s="1" t="s">
        <v>186</v>
      </c>
    </row>
    <row r="14" customFormat="false" ht="15" hidden="false" customHeight="true" outlineLevel="0" collapsed="false">
      <c r="A14" s="1" t="s">
        <v>187</v>
      </c>
    </row>
    <row r="15" customFormat="false" ht="15" hidden="false" customHeight="true" outlineLevel="0" collapsed="false">
      <c r="A15" s="1" t="s">
        <v>188</v>
      </c>
    </row>
    <row r="16" customFormat="false" ht="15" hidden="false" customHeight="true" outlineLevel="0" collapsed="false">
      <c r="A16" s="1" t="s">
        <v>189</v>
      </c>
    </row>
    <row r="17" customFormat="false" ht="15" hidden="false" customHeight="true" outlineLevel="0" collapsed="false">
      <c r="A17" s="1" t="s">
        <v>190</v>
      </c>
    </row>
    <row r="18" customFormat="false" ht="15" hidden="false" customHeight="true" outlineLevel="0" collapsed="false">
      <c r="A18" s="1" t="s">
        <v>191</v>
      </c>
    </row>
    <row r="19" customFormat="false" ht="15" hidden="false" customHeight="true" outlineLevel="0" collapsed="false">
      <c r="A19" s="1" t="s">
        <v>192</v>
      </c>
    </row>
    <row r="20" customFormat="false" ht="15" hidden="false" customHeight="true" outlineLevel="0" collapsed="false">
      <c r="A20" s="1" t="s">
        <v>193</v>
      </c>
    </row>
    <row r="21" customFormat="false" ht="15" hidden="false" customHeight="true" outlineLevel="0" collapsed="false">
      <c r="A21" s="1" t="s">
        <v>194</v>
      </c>
    </row>
    <row r="22" customFormat="false" ht="15" hidden="false" customHeight="true" outlineLevel="0" collapsed="false">
      <c r="A22" s="1" t="s">
        <v>195</v>
      </c>
    </row>
    <row r="23" customFormat="false" ht="15" hidden="false" customHeight="true" outlineLevel="0" collapsed="false">
      <c r="A23" s="1" t="s">
        <v>196</v>
      </c>
    </row>
    <row r="24" customFormat="false" ht="15" hidden="false" customHeight="true" outlineLevel="0" collapsed="false">
      <c r="A24" s="1" t="s">
        <v>197</v>
      </c>
    </row>
    <row r="25" customFormat="false" ht="15" hidden="false" customHeight="true" outlineLevel="0" collapsed="false">
      <c r="A25" s="1" t="s">
        <v>198</v>
      </c>
    </row>
    <row r="26" customFormat="false" ht="15" hidden="false" customHeight="true" outlineLevel="0" collapsed="false">
      <c r="A26" s="1" t="s">
        <v>199</v>
      </c>
    </row>
    <row r="27" customFormat="false" ht="15" hidden="false" customHeight="true" outlineLevel="0" collapsed="false">
      <c r="A27" s="1" t="s">
        <v>200</v>
      </c>
    </row>
    <row r="28" customFormat="false" ht="15" hidden="false" customHeight="true" outlineLevel="0" collapsed="false">
      <c r="A28" s="1" t="s">
        <v>201</v>
      </c>
    </row>
    <row r="29" customFormat="false" ht="15" hidden="false" customHeight="true" outlineLevel="0" collapsed="false">
      <c r="A29" s="1" t="s">
        <v>202</v>
      </c>
    </row>
    <row r="30" customFormat="false" ht="15" hidden="false" customHeight="true" outlineLevel="0" collapsed="false">
      <c r="A30" s="1" t="s">
        <v>203</v>
      </c>
    </row>
    <row r="31" customFormat="false" ht="15" hidden="false" customHeight="true" outlineLevel="0" collapsed="false">
      <c r="A31" s="1" t="s">
        <v>204</v>
      </c>
    </row>
    <row r="32" customFormat="false" ht="15" hidden="false" customHeight="true" outlineLevel="0" collapsed="false">
      <c r="A32" s="1" t="s">
        <v>131</v>
      </c>
    </row>
    <row r="33" customFormat="false" ht="15" hidden="false" customHeight="true" outlineLevel="0" collapsed="false">
      <c r="A33" s="1" t="s">
        <v>134</v>
      </c>
    </row>
    <row r="34" customFormat="false" ht="15" hidden="false" customHeight="true" outlineLevel="0" collapsed="false">
      <c r="A34" s="1" t="s">
        <v>135</v>
      </c>
    </row>
    <row r="35" customFormat="false" ht="15" hidden="false" customHeight="true" outlineLevel="0" collapsed="false">
      <c r="A35" s="1" t="s">
        <v>136</v>
      </c>
    </row>
    <row r="36" customFormat="false" ht="15" hidden="false" customHeight="true" outlineLevel="0" collapsed="false">
      <c r="A36" s="1" t="s">
        <v>137</v>
      </c>
    </row>
    <row r="37" customFormat="false" ht="15" hidden="false" customHeight="true" outlineLevel="0" collapsed="false">
      <c r="A37" s="1" t="s">
        <v>138</v>
      </c>
    </row>
    <row r="38" customFormat="false" ht="15" hidden="false" customHeight="true" outlineLevel="0" collapsed="false">
      <c r="A38" s="1" t="s">
        <v>139</v>
      </c>
    </row>
    <row r="39" customFormat="false" ht="15" hidden="false" customHeight="true" outlineLevel="0" collapsed="false">
      <c r="A39" s="1" t="s">
        <v>140</v>
      </c>
    </row>
    <row r="40" customFormat="false" ht="15" hidden="false" customHeight="true" outlineLevel="0" collapsed="false">
      <c r="A40" s="1" t="s">
        <v>205</v>
      </c>
    </row>
    <row r="41" customFormat="false" ht="15" hidden="false" customHeight="true" outlineLevel="0" collapsed="false">
      <c r="A41" s="1" t="s">
        <v>207</v>
      </c>
    </row>
    <row r="42" customFormat="false" ht="15" hidden="false" customHeight="true" outlineLevel="0" collapsed="false">
      <c r="A42" s="1" t="s">
        <v>209</v>
      </c>
    </row>
    <row r="43" customFormat="false" ht="15" hidden="false" customHeight="true" outlineLevel="0" collapsed="false">
      <c r="A43" s="1" t="s">
        <v>206</v>
      </c>
    </row>
    <row r="44" customFormat="false" ht="15" hidden="false" customHeight="true" outlineLevel="0" collapsed="false">
      <c r="A44" s="1" t="s">
        <v>208</v>
      </c>
    </row>
    <row r="45" customFormat="false" ht="15" hidden="false" customHeight="true" outlineLevel="0" collapsed="false">
      <c r="A45" s="1" t="s">
        <v>210</v>
      </c>
    </row>
    <row r="46" customFormat="false" ht="15" hidden="false" customHeight="true" outlineLevel="0" collapsed="false">
      <c r="A46" s="1" t="s">
        <v>211</v>
      </c>
    </row>
    <row r="47" customFormat="false" ht="15" hidden="false" customHeight="true" outlineLevel="0" collapsed="false">
      <c r="A47" s="1" t="s">
        <v>212</v>
      </c>
    </row>
    <row r="48" customFormat="false" ht="15" hidden="false" customHeight="true" outlineLevel="0" collapsed="false">
      <c r="A48" s="1" t="s">
        <v>213</v>
      </c>
    </row>
    <row r="49" customFormat="false" ht="15" hidden="false" customHeight="true" outlineLevel="0" collapsed="false">
      <c r="A49" s="1" t="s">
        <v>214</v>
      </c>
    </row>
    <row r="50" customFormat="false" ht="15" hidden="false" customHeight="true" outlineLevel="0" collapsed="false">
      <c r="A50" s="1" t="s">
        <v>215</v>
      </c>
    </row>
    <row r="51" customFormat="false" ht="15" hidden="false" customHeight="true" outlineLevel="0" collapsed="false">
      <c r="A51" s="1" t="s">
        <v>216</v>
      </c>
    </row>
    <row r="52" customFormat="false" ht="15" hidden="false" customHeight="true" outlineLevel="0" collapsed="false">
      <c r="A52" s="1" t="s">
        <v>145</v>
      </c>
    </row>
    <row r="53" customFormat="false" ht="15" hidden="false" customHeight="true" outlineLevel="0" collapsed="false">
      <c r="A53" s="1" t="s">
        <v>147</v>
      </c>
    </row>
    <row r="54" customFormat="false" ht="15" hidden="false" customHeight="true" outlineLevel="0" collapsed="false">
      <c r="A54" s="1" t="s">
        <v>148</v>
      </c>
    </row>
    <row r="55" customFormat="false" ht="15" hidden="false" customHeight="true" outlineLevel="0" collapsed="false">
      <c r="A55" s="1" t="s">
        <v>149</v>
      </c>
    </row>
    <row r="56" customFormat="false" ht="15" hidden="false" customHeight="true" outlineLevel="0" collapsed="false">
      <c r="A56" s="1" t="s">
        <v>150</v>
      </c>
    </row>
    <row r="57" customFormat="false" ht="15" hidden="false" customHeight="true" outlineLevel="0" collapsed="false">
      <c r="A57" s="1" t="s">
        <v>151</v>
      </c>
    </row>
    <row r="58" customFormat="false" ht="15" hidden="false" customHeight="true" outlineLevel="0" collapsed="false">
      <c r="A58" s="1" t="s">
        <v>152</v>
      </c>
    </row>
    <row r="59" customFormat="false" ht="15" hidden="false" customHeight="true" outlineLevel="0" collapsed="false">
      <c r="A59" s="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24AA"/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3"/>
  </cols>
  <sheetData>
    <row r="1" customFormat="false" ht="25.5" hidden="false" customHeight="true" outlineLevel="0" collapsed="false">
      <c r="A1" s="13" t="s">
        <v>307</v>
      </c>
      <c r="B1" s="13"/>
      <c r="C1" s="13"/>
      <c r="D1" s="13"/>
      <c r="E1" s="13"/>
      <c r="F1" s="13"/>
      <c r="G1" s="13"/>
      <c r="H1" s="13"/>
      <c r="I1" s="13"/>
    </row>
    <row r="2" customFormat="false" ht="30" hidden="false" customHeight="true" outlineLevel="0" collapsed="false">
      <c r="A2" s="14" t="s">
        <v>308</v>
      </c>
      <c r="B2" s="14"/>
      <c r="C2" s="14"/>
      <c r="D2" s="14"/>
      <c r="E2" s="14"/>
      <c r="F2" s="14"/>
      <c r="G2" s="14"/>
      <c r="H2" s="14"/>
      <c r="I2" s="14"/>
    </row>
    <row r="4" customFormat="false" ht="21.75" hidden="false" customHeight="true" outlineLevel="0" collapsed="false">
      <c r="A4" s="15" t="s">
        <v>33</v>
      </c>
      <c r="B4" s="16" t="s">
        <v>309</v>
      </c>
      <c r="C4" s="16"/>
      <c r="D4" s="16"/>
      <c r="E4" s="16"/>
      <c r="F4" s="16" t="s">
        <v>36</v>
      </c>
      <c r="G4" s="16"/>
      <c r="H4" s="16"/>
      <c r="I4" s="16"/>
    </row>
    <row r="5" customFormat="false" ht="27.75" hidden="false" customHeight="true" outlineLevel="0" collapsed="false">
      <c r="A5" s="15"/>
      <c r="B5" s="17" t="s">
        <v>37</v>
      </c>
      <c r="C5" s="17" t="s">
        <v>38</v>
      </c>
      <c r="D5" s="17" t="s">
        <v>39</v>
      </c>
      <c r="E5" s="17" t="s">
        <v>40</v>
      </c>
      <c r="F5" s="17" t="s">
        <v>37</v>
      </c>
      <c r="G5" s="17" t="s">
        <v>38</v>
      </c>
      <c r="H5" s="17" t="s">
        <v>39</v>
      </c>
      <c r="I5" s="17" t="s">
        <v>40</v>
      </c>
    </row>
    <row r="6" customFormat="false" ht="15" hidden="false" customHeight="true" outlineLevel="0" collapsed="false">
      <c r="A6" s="18" t="s">
        <v>310</v>
      </c>
      <c r="B6" s="19" t="n">
        <f aca="false">IFERROR(INDEX(Receitas_PrecoPraticado,MATCH("Açaí Zero Açúcar 250ml",Receitas_Produto,0)),"")</f>
        <v>23</v>
      </c>
      <c r="C6" s="19" t="n">
        <f aca="false">IFERROR(INDEX(Receitas_CustoTotalUnit,MATCH("Açaí Zero Açúcar 250ml",Receitas_Produto,0)),"")</f>
        <v>19.8761128293242</v>
      </c>
      <c r="D6" s="20" t="n">
        <f aca="false">IFERROR(INDEX(Receitas_CMV,MATCH("Açaí Zero Açúcar 250ml",Receitas_Produto,0)),"")</f>
        <v>0.542079784849843</v>
      </c>
      <c r="E6" s="20" t="n">
        <f aca="false">IFERROR(INDEX(Receitas_Margem,MATCH("Açaí Zero Açúcar 250ml",Receitas_Produto,0)),"")</f>
        <v>-0.0691788186662682</v>
      </c>
      <c r="F6" s="19" t="n">
        <f aca="false">IFERROR(INDEX(Receitas_PrecoPraticado,MATCH("Açaí Zero Açúcar 500ml",Receitas_Produto,0)),"")</f>
        <v>38</v>
      </c>
      <c r="G6" s="19" t="n">
        <f aca="false">IFERROR(INDEX(Receitas_CustoTotalUnit,MATCH("Açaí Zero Açúcar 500ml",Receitas_Produto,0)),"")</f>
        <v>23.9998241695304</v>
      </c>
      <c r="H6" s="20" t="n">
        <f aca="false">IFERROR(INDEX(Receitas_CMV,MATCH("Açaí Zero Açúcar 500ml",Receitas_Produto,0)),"")</f>
        <v>0.436619641888226</v>
      </c>
      <c r="I6" s="20" t="n">
        <f aca="false">IFERROR(INDEX(Receitas_Margem,MATCH("Açaí Zero Açúcar 500ml",Receitas_Produto,0)),"")</f>
        <v>0.163425679749201</v>
      </c>
    </row>
    <row r="7" customFormat="false" ht="15" hidden="false" customHeight="true" outlineLevel="0" collapsed="false">
      <c r="A7" s="18" t="s">
        <v>311</v>
      </c>
      <c r="B7" s="19" t="n">
        <f aca="false">IFERROR(INDEX(Receitas_PrecoPraticado,MATCH("Açaí Puro 250ml",Receitas_Produto,0)),"")</f>
        <v>18</v>
      </c>
      <c r="C7" s="19" t="n">
        <f aca="false">IFERROR(INDEX(Receitas_CustoTotalUnit,MATCH("Açaí Puro 250ml",Receitas_Produto,0)),"")</f>
        <v>17.8142571592211</v>
      </c>
      <c r="D7" s="20" t="n">
        <f aca="false">IFERROR(INDEX(Receitas_CMV,MATCH("Açaí Puro 250ml",Receitas_Produto,0)),"")</f>
        <v>0.578109965635739</v>
      </c>
      <c r="E7" s="20" t="n">
        <f aca="false">IFERROR(INDEX(Receitas_Margem,MATCH("Açaí Puro 250ml",Receitas_Produto,0)),"")</f>
        <v>-0.19468095329006</v>
      </c>
      <c r="F7" s="19" t="n">
        <f aca="false">IFERROR(INDEX(Receitas_PrecoPraticado,MATCH("Açaí Puro 500ml",Receitas_Produto,0)),"")</f>
        <v>27.5</v>
      </c>
      <c r="G7" s="19" t="n">
        <f aca="false">IFERROR(INDEX(Receitas_CustoTotalUnit,MATCH("Açaí Puro 500ml",Receitas_Produto,0)),"")</f>
        <v>22.9688963344788</v>
      </c>
      <c r="H7" s="20" t="n">
        <f aca="false">IFERROR(INDEX(Receitas_CMV,MATCH("Açaí Puro 500ml",Receitas_Produto,0)),"")</f>
        <v>0.565840674789129</v>
      </c>
      <c r="I7" s="20" t="n">
        <f aca="false">IFERROR(INDEX(Receitas_Margem,MATCH("Açaí Puro 500ml",Receitas_Produto,0)),"")</f>
        <v>-0.0402325939810476</v>
      </c>
    </row>
    <row r="8" customFormat="false" ht="15" hidden="false" customHeight="true" outlineLevel="0" collapsed="false">
      <c r="A8" s="18" t="s">
        <v>312</v>
      </c>
      <c r="B8" s="19" t="n">
        <f aca="false">IFERROR(INDEX(Receitas_PrecoPraticado,MATCH("Açaí Banana 250ml",Receitas_Produto,0)),"")</f>
        <v>18</v>
      </c>
      <c r="C8" s="19" t="n">
        <f aca="false">IFERROR(INDEX(Receitas_CustoTotalUnit,MATCH("Açaí Banana 250ml",Receitas_Produto,0)),"")</f>
        <v>17.8142571592211</v>
      </c>
      <c r="D8" s="20" t="n">
        <f aca="false">IFERROR(INDEX(Receitas_CMV,MATCH("Açaí Banana 250ml",Receitas_Produto,0)),"")</f>
        <v>0.578109965635739</v>
      </c>
      <c r="E8" s="20" t="n">
        <f aca="false">IFERROR(INDEX(Receitas_Margem,MATCH("Açaí Banana 250ml",Receitas_Produto,0)),"")</f>
        <v>-0.19468095329006</v>
      </c>
      <c r="F8" s="19" t="n">
        <f aca="false">IFERROR(INDEX(Receitas_PrecoPraticado,MATCH("Açaí Banana 500ml",Receitas_Produto,0)),"")</f>
        <v>27.5</v>
      </c>
      <c r="G8" s="19" t="n">
        <f aca="false">IFERROR(INDEX(Receitas_CustoTotalUnit,MATCH("Açaí Banana 500ml",Receitas_Produto,0)),"")</f>
        <v>22.9688963344788</v>
      </c>
      <c r="H8" s="20" t="n">
        <f aca="false">IFERROR(INDEX(Receitas_CMV,MATCH("Açaí Banana 500ml",Receitas_Produto,0)),"")</f>
        <v>0.565840674789129</v>
      </c>
      <c r="I8" s="20" t="n">
        <f aca="false">IFERROR(INDEX(Receitas_Margem,MATCH("Açaí Banana 500ml",Receitas_Produto,0)),"")</f>
        <v>-0.0402325939810476</v>
      </c>
    </row>
    <row r="9" customFormat="false" ht="15" hidden="false" customHeight="true" outlineLevel="0" collapsed="false">
      <c r="A9" s="18" t="s">
        <v>313</v>
      </c>
      <c r="B9" s="19" t="n">
        <f aca="false">IFERROR(INDEX(Receitas_PrecoPraticado,MATCH("Açaí Morango 250ml",Receitas_Produto,0)),"")</f>
        <v>18</v>
      </c>
      <c r="C9" s="19" t="n">
        <f aca="false">IFERROR(INDEX(Receitas_CustoTotalUnit,MATCH("Açaí Morango 250ml",Receitas_Produto,0)),"")</f>
        <v>17.8142571592211</v>
      </c>
      <c r="D9" s="20" t="n">
        <f aca="false">IFERROR(INDEX(Receitas_CMV,MATCH("Açaí Morango 250ml",Receitas_Produto,0)),"")</f>
        <v>0.578109965635739</v>
      </c>
      <c r="E9" s="20" t="n">
        <f aca="false">IFERROR(INDEX(Receitas_Margem,MATCH("Açaí Morango 250ml",Receitas_Produto,0)),"")</f>
        <v>-0.19468095329006</v>
      </c>
      <c r="F9" s="19" t="n">
        <f aca="false">IFERROR(INDEX(Receitas_PrecoPraticado,MATCH("Açaí Morango 500ml",Receitas_Produto,0)),"")</f>
        <v>27.5</v>
      </c>
      <c r="G9" s="19" t="n">
        <f aca="false">IFERROR(INDEX(Receitas_CustoTotalUnit,MATCH("Açaí Morango 500ml",Receitas_Produto,0)),"")</f>
        <v>22.9688963344788</v>
      </c>
      <c r="H9" s="20" t="n">
        <f aca="false">IFERROR(INDEX(Receitas_CMV,MATCH("Açaí Morango 500ml",Receitas_Produto,0)),"")</f>
        <v>0.565840674789129</v>
      </c>
      <c r="I9" s="20" t="n">
        <f aca="false">IFERROR(INDEX(Receitas_Margem,MATCH("Açaí Morango 500ml",Receitas_Produto,0)),"")</f>
        <v>-0.0402325939810476</v>
      </c>
    </row>
  </sheetData>
  <mergeCells count="5">
    <mergeCell ref="A1:I1"/>
    <mergeCell ref="A2:I2"/>
    <mergeCell ref="A4:A5"/>
    <mergeCell ref="B4:E4"/>
    <mergeCell ref="F4:I4"/>
  </mergeCells>
  <conditionalFormatting sqref="E6:E9">
    <cfRule type="expression" priority="2" aboveAverage="0" equalAverage="0" bottom="0" percent="0" rank="0" text="" dxfId="0">
      <formula>AND(ISNUMBER(E6),E6&gt;=MargemLiquidaDesejada)</formula>
    </cfRule>
    <cfRule type="expression" priority="3" aboveAverage="0" equalAverage="0" bottom="0" percent="0" rank="0" text="" dxfId="1">
      <formula>AND(ISNUMBER(E6),E6&lt;MargemLiquidaDesejada,E6&gt;=MargemLiquidaDesejada*0.8)</formula>
    </cfRule>
    <cfRule type="expression" priority="4" aboveAverage="0" equalAverage="0" bottom="0" percent="0" rank="0" text="" dxfId="2">
      <formula>AND(ISNUMBER(E6),E6&lt;MargemLiquidaDesejada*0.8)</formula>
    </cfRule>
  </conditionalFormatting>
  <conditionalFormatting sqref="I6:I9">
    <cfRule type="expression" priority="5" aboveAverage="0" equalAverage="0" bottom="0" percent="0" rank="0" text="" dxfId="0">
      <formula>AND(ISNUMBER(I6),I6&gt;=MargemLiquidaDesejada)</formula>
    </cfRule>
    <cfRule type="expression" priority="6" aboveAverage="0" equalAverage="0" bottom="0" percent="0" rank="0" text="" dxfId="1">
      <formula>AND(ISNUMBER(I6),I6&lt;MargemLiquidaDesejada,I6&gt;=MargemLiquidaDesejada*0.8)</formula>
    </cfRule>
    <cfRule type="expression" priority="7" aboveAverage="0" equalAverage="0" bottom="0" percent="0" rank="0" text="" dxfId="2">
      <formula>AND(ISNUMBER(I6),I6&lt;MargemLiquidaDesejada*0.8)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4037"/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3"/>
  </cols>
  <sheetData>
    <row r="1" customFormat="false" ht="25.5" hidden="false" customHeight="true" outlineLevel="0" collapsed="false">
      <c r="A1" s="13" t="s">
        <v>314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30" hidden="false" customHeight="true" outlineLevel="0" collapsed="false">
      <c r="A2" s="14" t="s">
        <v>315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customFormat="false" ht="21.75" hidden="false" customHeight="true" outlineLevel="0" collapsed="false">
      <c r="A4" s="15" t="s">
        <v>33</v>
      </c>
      <c r="B4" s="16" t="s">
        <v>34</v>
      </c>
      <c r="C4" s="16"/>
      <c r="D4" s="16"/>
      <c r="E4" s="16"/>
      <c r="F4" s="16" t="s">
        <v>35</v>
      </c>
      <c r="G4" s="16"/>
      <c r="H4" s="16"/>
      <c r="I4" s="16"/>
      <c r="J4" s="16" t="s">
        <v>36</v>
      </c>
      <c r="K4" s="16"/>
      <c r="L4" s="16"/>
      <c r="M4" s="16"/>
    </row>
    <row r="5" customFormat="false" ht="27.75" hidden="false" customHeight="true" outlineLevel="0" collapsed="false">
      <c r="A5" s="15"/>
      <c r="B5" s="17" t="s">
        <v>37</v>
      </c>
      <c r="C5" s="17" t="s">
        <v>38</v>
      </c>
      <c r="D5" s="17" t="s">
        <v>39</v>
      </c>
      <c r="E5" s="17" t="s">
        <v>40</v>
      </c>
      <c r="F5" s="17" t="s">
        <v>37</v>
      </c>
      <c r="G5" s="17" t="s">
        <v>38</v>
      </c>
      <c r="H5" s="17" t="s">
        <v>39</v>
      </c>
      <c r="I5" s="17" t="s">
        <v>40</v>
      </c>
      <c r="J5" s="17" t="s">
        <v>37</v>
      </c>
      <c r="K5" s="17" t="s">
        <v>38</v>
      </c>
      <c r="L5" s="17" t="s">
        <v>39</v>
      </c>
      <c r="M5" s="17" t="s">
        <v>40</v>
      </c>
    </row>
    <row r="6" customFormat="false" ht="15" hidden="false" customHeight="true" outlineLevel="0" collapsed="false">
      <c r="A6" s="18" t="s">
        <v>316</v>
      </c>
      <c r="B6" s="19" t="n">
        <f aca="false">IFERROR(INDEX(Receitas_PrecoPraticado,MATCH("Açaí Tradicional 200ml",Receitas_Produto,0)),"")</f>
        <v>16.9</v>
      </c>
      <c r="C6" s="19" t="n">
        <f aca="false">IFERROR(INDEX(Receitas_CustoTotalUnit,MATCH("Açaí Tradicional 200ml",Receitas_Produto,0)),"")</f>
        <v>10.6535355097365</v>
      </c>
      <c r="D6" s="20" t="n">
        <f aca="false">IFERROR(INDEX(Receitas_CMV,MATCH("Açaí Tradicional 200ml",Receitas_Produto,0)),"")</f>
        <v>0.192027084731288</v>
      </c>
      <c r="E6" s="20" t="n">
        <f aca="false">IFERROR(INDEX(Receitas_Margem,MATCH("Açaí Tradicional 200ml",Receitas_Produto,0)),"")</f>
        <v>0.164613283447542</v>
      </c>
      <c r="F6" s="19" t="n">
        <f aca="false">IFERROR(INDEX(Receitas_PrecoPraticado,MATCH("Açaí Tradicional 300ml",Receitas_Produto,0)),"")</f>
        <v>22.9</v>
      </c>
      <c r="G6" s="19" t="n">
        <f aca="false">IFERROR(INDEX(Receitas_CustoTotalUnit,MATCH("Açaí Tradicional 300ml",Receitas_Produto,0)),"")</f>
        <v>12.3410819014891</v>
      </c>
      <c r="H6" s="20" t="n">
        <f aca="false">IFERROR(INDEX(Receitas_CMV,MATCH("Açaí Tradicional 300ml",Receitas_Produto,0)),"")</f>
        <v>0.215406293611849</v>
      </c>
      <c r="I6" s="20" t="n">
        <f aca="false">IFERROR(INDEX(Receitas_Margem,MATCH("Açaí Tradicional 300ml",Receitas_Produto,0)),"")</f>
        <v>0.256088126572528</v>
      </c>
      <c r="J6" s="19" t="n">
        <f aca="false">IFERROR(INDEX(Receitas_PrecoPraticado,MATCH("Açaí Tradicional 500ml",Receitas_Produto,0)),"")</f>
        <v>29.9</v>
      </c>
      <c r="K6" s="19" t="n">
        <f aca="false">IFERROR(INDEX(Receitas_CustoTotalUnit,MATCH("Açaí Tradicional 500ml",Receitas_Produto,0)),"")</f>
        <v>15.8461643757159</v>
      </c>
      <c r="L6" s="20" t="n">
        <f aca="false">IFERROR(INDEX(Receitas_CMV,MATCH("Açaí Tradicional 500ml",Receitas_Produto,0)),"")</f>
        <v>0.282203565148433</v>
      </c>
      <c r="M6" s="20" t="n">
        <f aca="false">IFERROR(INDEX(Receitas_Margem,MATCH("Açaí Tradicional 500ml",Receitas_Produto,0)),"")</f>
        <v>0.265027947300471</v>
      </c>
    </row>
    <row r="7" customFormat="false" ht="15" hidden="false" customHeight="true" outlineLevel="0" collapsed="false">
      <c r="A7" s="18" t="s">
        <v>317</v>
      </c>
      <c r="B7" s="19" t="n">
        <f aca="false">IFERROR(INDEX(Receitas_PrecoPraticado,MATCH("Cupuaçu Tradicional 200ml",Receitas_Produto,0)),"")</f>
        <v>16.9</v>
      </c>
      <c r="C7" s="19" t="n">
        <f aca="false">IFERROR(INDEX(Receitas_CustoTotalUnit,MATCH("Cupuaçu Tradicional 200ml",Receitas_Produto,0)),"")</f>
        <v>10.6535355097365</v>
      </c>
      <c r="D7" s="20" t="n">
        <f aca="false">IFERROR(INDEX(Receitas_CMV,MATCH("Cupuaçu Tradicional 200ml",Receitas_Produto,0)),"")</f>
        <v>0.192027084731288</v>
      </c>
      <c r="E7" s="20" t="n">
        <f aca="false">IFERROR(INDEX(Receitas_Margem,MATCH("Cupuaçu Tradicional 200ml",Receitas_Produto,0)),"")</f>
        <v>0.164613283447542</v>
      </c>
      <c r="F7" s="19" t="n">
        <f aca="false">IFERROR(INDEX(Receitas_PrecoPraticado,MATCH("Cupuaçu Tradicional 300ml",Receitas_Produto,0)),"")</f>
        <v>22.9</v>
      </c>
      <c r="G7" s="19" t="n">
        <f aca="false">IFERROR(INDEX(Receitas_CustoTotalUnit,MATCH("Cupuaçu Tradicional 300ml",Receitas_Produto,0)),"")</f>
        <v>12.3410819014891</v>
      </c>
      <c r="H7" s="20" t="n">
        <f aca="false">IFERROR(INDEX(Receitas_CMV,MATCH("Cupuaçu Tradicional 300ml",Receitas_Produto,0)),"")</f>
        <v>0.215406293611849</v>
      </c>
      <c r="I7" s="20" t="n">
        <f aca="false">IFERROR(INDEX(Receitas_Margem,MATCH("Cupuaçu Tradicional 300ml",Receitas_Produto,0)),"")</f>
        <v>0.256088126572528</v>
      </c>
      <c r="J7" s="19" t="n">
        <f aca="false">IFERROR(INDEX(Receitas_PrecoPraticado,MATCH("Cupuaçu Tradicional 500ml",Receitas_Produto,0)),"")</f>
        <v>29.9</v>
      </c>
      <c r="K7" s="19" t="n">
        <f aca="false">IFERROR(INDEX(Receitas_CustoTotalUnit,MATCH("Cupuaçu Tradicional 500ml",Receitas_Produto,0)),"")</f>
        <v>15.8461643757159</v>
      </c>
      <c r="L7" s="20" t="n">
        <f aca="false">IFERROR(INDEX(Receitas_CMV,MATCH("Cupuaçu Tradicional 500ml",Receitas_Produto,0)),"")</f>
        <v>0.282203565148433</v>
      </c>
      <c r="M7" s="20" t="n">
        <f aca="false">IFERROR(INDEX(Receitas_Margem,MATCH("Cupuaçu Tradicional 500ml",Receitas_Produto,0)),"")</f>
        <v>0.265027947300471</v>
      </c>
    </row>
  </sheetData>
  <mergeCells count="6">
    <mergeCell ref="A1:M1"/>
    <mergeCell ref="A2:M2"/>
    <mergeCell ref="A4:A5"/>
    <mergeCell ref="B4:E4"/>
    <mergeCell ref="F4:I4"/>
    <mergeCell ref="J4:M4"/>
  </mergeCells>
  <conditionalFormatting sqref="E6:E7">
    <cfRule type="expression" priority="2" aboveAverage="0" equalAverage="0" bottom="0" percent="0" rank="0" text="" dxfId="0">
      <formula>AND(ISNUMBER(E6),E6&gt;=MargemLiquidaDesejada)</formula>
    </cfRule>
    <cfRule type="expression" priority="3" aboveAverage="0" equalAverage="0" bottom="0" percent="0" rank="0" text="" dxfId="1">
      <formula>AND(ISNUMBER(E6),E6&lt;MargemLiquidaDesejada,E6&gt;=MargemLiquidaDesejada*0.8)</formula>
    </cfRule>
    <cfRule type="expression" priority="4" aboveAverage="0" equalAverage="0" bottom="0" percent="0" rank="0" text="" dxfId="2">
      <formula>AND(ISNUMBER(E6),E6&lt;MargemLiquidaDesejada*0.8)</formula>
    </cfRule>
  </conditionalFormatting>
  <conditionalFormatting sqref="I6:I7">
    <cfRule type="expression" priority="5" aboveAverage="0" equalAverage="0" bottom="0" percent="0" rank="0" text="" dxfId="0">
      <formula>AND(ISNUMBER(I6),I6&gt;=MargemLiquidaDesejada)</formula>
    </cfRule>
    <cfRule type="expression" priority="6" aboveAverage="0" equalAverage="0" bottom="0" percent="0" rank="0" text="" dxfId="1">
      <formula>AND(ISNUMBER(I6),I6&lt;MargemLiquidaDesejada,I6&gt;=MargemLiquidaDesejada*0.8)</formula>
    </cfRule>
    <cfRule type="expression" priority="7" aboveAverage="0" equalAverage="0" bottom="0" percent="0" rank="0" text="" dxfId="2">
      <formula>AND(ISNUMBER(I6),I6&lt;MargemLiquidaDesejada*0.8)</formula>
    </cfRule>
  </conditionalFormatting>
  <conditionalFormatting sqref="M6:M7">
    <cfRule type="expression" priority="8" aboveAverage="0" equalAverage="0" bottom="0" percent="0" rank="0" text="" dxfId="0">
      <formula>AND(ISNUMBER(M6),M6&gt;=MargemLiquidaDesejada)</formula>
    </cfRule>
    <cfRule type="expression" priority="9" aboveAverage="0" equalAverage="0" bottom="0" percent="0" rank="0" text="" dxfId="1">
      <formula>AND(ISNUMBER(M6),M6&lt;MargemLiquidaDesejada,M6&gt;=MargemLiquidaDesejada*0.8)</formula>
    </cfRule>
    <cfRule type="expression" priority="10" aboveAverage="0" equalAverage="0" bottom="0" percent="0" rank="0" text="" dxfId="2">
      <formula>AND(ISNUMBER(M6),M6&lt;MargemLiquidaDesejada*0.8)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6"/>
  </cols>
  <sheetData>
    <row r="1" customFormat="false" ht="25.5" hidden="false" customHeight="true" outlineLevel="0" collapsed="false">
      <c r="A1" s="13" t="s">
        <v>318</v>
      </c>
      <c r="B1" s="13"/>
      <c r="C1" s="13"/>
      <c r="D1" s="13"/>
      <c r="E1" s="13"/>
      <c r="F1" s="13"/>
    </row>
    <row r="2" customFormat="false" ht="30" hidden="false" customHeight="true" outlineLevel="0" collapsed="false">
      <c r="A2" s="14" t="s">
        <v>319</v>
      </c>
      <c r="B2" s="14"/>
      <c r="C2" s="14"/>
      <c r="D2" s="14"/>
      <c r="E2" s="14"/>
      <c r="F2" s="14"/>
    </row>
    <row r="4" customFormat="false" ht="21.75" hidden="false" customHeight="true" outlineLevel="0" collapsed="false">
      <c r="A4" s="59" t="s">
        <v>320</v>
      </c>
      <c r="B4" s="59"/>
      <c r="C4" s="59"/>
      <c r="D4" s="59"/>
      <c r="E4" s="59"/>
      <c r="F4" s="59"/>
    </row>
    <row r="5" customFormat="false" ht="30" hidden="false" customHeight="true" outlineLevel="0" collapsed="false">
      <c r="A5" s="27" t="s">
        <v>33</v>
      </c>
      <c r="B5" s="27" t="s">
        <v>78</v>
      </c>
      <c r="C5" s="27" t="s">
        <v>79</v>
      </c>
      <c r="D5" s="27" t="s">
        <v>321</v>
      </c>
      <c r="E5" s="27" t="s">
        <v>322</v>
      </c>
      <c r="F5" s="27" t="s">
        <v>84</v>
      </c>
    </row>
    <row r="6" customFormat="false" ht="15" hidden="false" customHeight="true" outlineLevel="0" collapsed="false">
      <c r="A6" s="18" t="s">
        <v>96</v>
      </c>
      <c r="B6" s="35" t="str">
        <f aca="false">IFERROR(IF(INDEX(Insumos_Fornecedor,MATCH("Leite em pó",Insumos_Ingrediente,0))=0,"",INDEX(Insumos_Fornecedor,MATCH("Leite em pó",Insumos_Ingrediente,0))),"")</f>
        <v/>
      </c>
      <c r="C6" s="35" t="str">
        <f aca="false">IFERROR(INDEX(Insumos_Unidade,MATCH("Leite em pó",Insumos_Ingrediente,0)),"")</f>
        <v>g</v>
      </c>
      <c r="D6" s="19" t="n">
        <f aca="false">IFERROR(IF($C6="un",INDEX(Insumos_CustoUnit,MATCH("Leite em pó",Insumos_Ingrediente,0)),INDEX(Insumos_CustoUnit,MATCH("Leite em pó",Insumos_Ingrediente,0))*1000),0)</f>
        <v>33.55</v>
      </c>
      <c r="E6" s="42" t="str">
        <f aca="false">IF($C6="g","30g",IF($C6="ml","30ml","1 unidade"))</f>
        <v>30g</v>
      </c>
      <c r="F6" s="39" t="n">
        <v>3</v>
      </c>
    </row>
    <row r="7" customFormat="false" ht="15" hidden="false" customHeight="true" outlineLevel="0" collapsed="false">
      <c r="A7" s="18" t="s">
        <v>100</v>
      </c>
      <c r="B7" s="35" t="str">
        <f aca="false">IFERROR(IF(INDEX(Insumos_Fornecedor,MATCH("Banana",Insumos_Ingrediente,0))=0,"",INDEX(Insumos_Fornecedor,MATCH("Banana",Insumos_Ingrediente,0))),"")</f>
        <v/>
      </c>
      <c r="C7" s="35" t="str">
        <f aca="false">IFERROR(INDEX(Insumos_Unidade,MATCH("Banana",Insumos_Ingrediente,0)),"")</f>
        <v>g</v>
      </c>
      <c r="D7" s="19" t="n">
        <f aca="false">IFERROR(IF($C7="un",INDEX(Insumos_CustoUnit,MATCH("Banana",Insumos_Ingrediente,0)),INDEX(Insumos_CustoUnit,MATCH("Banana",Insumos_Ingrediente,0))*1000),0)</f>
        <v>2.30769230769231</v>
      </c>
      <c r="E7" s="42" t="str">
        <f aca="false">IF($C7="g","30g",IF($C7="ml","30ml","1 unidade"))</f>
        <v>30g</v>
      </c>
      <c r="F7" s="39" t="n">
        <v>3</v>
      </c>
    </row>
    <row r="8" customFormat="false" ht="15" hidden="false" customHeight="true" outlineLevel="0" collapsed="false">
      <c r="A8" s="18" t="s">
        <v>101</v>
      </c>
      <c r="B8" s="35" t="str">
        <f aca="false">IFERROR(IF(INDEX(Insumos_Fornecedor,MATCH("Morango",Insumos_Ingrediente,0))=0,"",INDEX(Insumos_Fornecedor,MATCH("Morango",Insumos_Ingrediente,0))),"")</f>
        <v/>
      </c>
      <c r="C8" s="35" t="str">
        <f aca="false">IFERROR(INDEX(Insumos_Unidade,MATCH("Morango",Insumos_Ingrediente,0)),"")</f>
        <v>g</v>
      </c>
      <c r="D8" s="19" t="n">
        <f aca="false">IFERROR(IF($C8="un",INDEX(Insumos_CustoUnit,MATCH("Morango",Insumos_Ingrediente,0)),INDEX(Insumos_CustoUnit,MATCH("Morango",Insumos_Ingrediente,0))*1000),0)</f>
        <v>16.5</v>
      </c>
      <c r="E8" s="42" t="str">
        <f aca="false">IF($C8="g","30g",IF($C8="ml","30ml","1 unidade"))</f>
        <v>30g</v>
      </c>
      <c r="F8" s="39" t="n">
        <v>5</v>
      </c>
    </row>
    <row r="9" customFormat="false" ht="15" hidden="false" customHeight="true" outlineLevel="0" collapsed="false">
      <c r="A9" s="18" t="s">
        <v>102</v>
      </c>
      <c r="B9" s="35" t="str">
        <f aca="false">IFERROR(IF(INDEX(Insumos_Fornecedor,MATCH("Granola",Insumos_Ingrediente,0))=0,"",INDEX(Insumos_Fornecedor,MATCH("Granola",Insumos_Ingrediente,0))),"")</f>
        <v/>
      </c>
      <c r="C9" s="35" t="str">
        <f aca="false">IFERROR(INDEX(Insumos_Unidade,MATCH("Granola",Insumos_Ingrediente,0)),"")</f>
        <v>g</v>
      </c>
      <c r="D9" s="19" t="n">
        <f aca="false">IFERROR(IF($C9="un",INDEX(Insumos_CustoUnit,MATCH("Granola",Insumos_Ingrediente,0)),INDEX(Insumos_CustoUnit,MATCH("Granola",Insumos_Ingrediente,0))*1000),0)</f>
        <v>20</v>
      </c>
      <c r="E9" s="42" t="str">
        <f aca="false">IF($C9="g","30g",IF($C9="ml","30ml","1 unidade"))</f>
        <v>30g</v>
      </c>
      <c r="F9" s="39" t="n">
        <v>3</v>
      </c>
    </row>
    <row r="10" customFormat="false" ht="15" hidden="false" customHeight="true" outlineLevel="0" collapsed="false">
      <c r="A10" s="18" t="s">
        <v>103</v>
      </c>
      <c r="B10" s="35" t="str">
        <f aca="false">IFERROR(IF(INDEX(Insumos_Fornecedor,MATCH("Leite condensado",Insumos_Ingrediente,0))=0,"",INDEX(Insumos_Fornecedor,MATCH("Leite condensado",Insumos_Ingrediente,0))),"")</f>
        <v/>
      </c>
      <c r="C10" s="35" t="str">
        <f aca="false">IFERROR(INDEX(Insumos_Unidade,MATCH("Leite condensado",Insumos_Ingrediente,0)),"")</f>
        <v>g</v>
      </c>
      <c r="D10" s="19" t="n">
        <f aca="false">IFERROR(IF($C10="un",INDEX(Insumos_CustoUnit,MATCH("Leite condensado",Insumos_Ingrediente,0)),INDEX(Insumos_CustoUnit,MATCH("Leite condensado",Insumos_Ingrediente,0))*1000),0)</f>
        <v>12.13</v>
      </c>
      <c r="E10" s="42" t="str">
        <f aca="false">IF($C10="g","30g",IF($C10="ml","30ml","1 unidade"))</f>
        <v>30g</v>
      </c>
      <c r="F10" s="39" t="n">
        <v>3</v>
      </c>
    </row>
    <row r="11" customFormat="false" ht="15" hidden="false" customHeight="true" outlineLevel="0" collapsed="false">
      <c r="A11" s="18" t="s">
        <v>104</v>
      </c>
      <c r="B11" s="35" t="str">
        <f aca="false">IFERROR(IF(INDEX(Insumos_Fornecedor,MATCH("Paçoca",Insumos_Ingrediente,0))=0,"",INDEX(Insumos_Fornecedor,MATCH("Paçoca",Insumos_Ingrediente,0))),"")</f>
        <v/>
      </c>
      <c r="C11" s="35" t="str">
        <f aca="false">IFERROR(INDEX(Insumos_Unidade,MATCH("Paçoca",Insumos_Ingrediente,0)),"")</f>
        <v>g</v>
      </c>
      <c r="D11" s="19" t="n">
        <f aca="false">IFERROR(IF($C11="un",INDEX(Insumos_CustoUnit,MATCH("Paçoca",Insumos_Ingrediente,0)),INDEX(Insumos_CustoUnit,MATCH("Paçoca",Insumos_Ingrediente,0))*1000),0)</f>
        <v>22.33</v>
      </c>
      <c r="E11" s="42" t="str">
        <f aca="false">IF($C11="g","30g",IF($C11="ml","30ml","1 unidade"))</f>
        <v>30g</v>
      </c>
      <c r="F11" s="39" t="n">
        <v>3</v>
      </c>
    </row>
    <row r="12" customFormat="false" ht="15" hidden="false" customHeight="true" outlineLevel="0" collapsed="false">
      <c r="A12" s="18" t="s">
        <v>105</v>
      </c>
      <c r="B12" s="35" t="str">
        <f aca="false">IFERROR(IF(INDEX(Insumos_Fornecedor,MATCH("Aveia",Insumos_Ingrediente,0))=0,"",INDEX(Insumos_Fornecedor,MATCH("Aveia",Insumos_Ingrediente,0))),"")</f>
        <v/>
      </c>
      <c r="C12" s="35" t="str">
        <f aca="false">IFERROR(INDEX(Insumos_Unidade,MATCH("Aveia",Insumos_Ingrediente,0)),"")</f>
        <v>g</v>
      </c>
      <c r="D12" s="19" t="n">
        <f aca="false">IFERROR(IF($C12="un",INDEX(Insumos_CustoUnit,MATCH("Aveia",Insumos_Ingrediente,0)),INDEX(Insumos_CustoUnit,MATCH("Aveia",Insumos_Ingrediente,0))*1000),0)</f>
        <v>0</v>
      </c>
      <c r="E12" s="42" t="str">
        <f aca="false">IF($C12="g","30g",IF($C12="ml","30ml","1 unidade"))</f>
        <v>30g</v>
      </c>
      <c r="F12" s="39" t="n">
        <v>3</v>
      </c>
    </row>
    <row r="13" customFormat="false" ht="15" hidden="false" customHeight="true" outlineLevel="0" collapsed="false">
      <c r="A13" s="18" t="s">
        <v>106</v>
      </c>
      <c r="B13" s="35" t="str">
        <f aca="false">IFERROR(IF(INDEX(Insumos_Fornecedor,MATCH("Ovomaltine",Insumos_Ingrediente,0))=0,"",INDEX(Insumos_Fornecedor,MATCH("Ovomaltine",Insumos_Ingrediente,0))),"")</f>
        <v/>
      </c>
      <c r="C13" s="35" t="str">
        <f aca="false">IFERROR(INDEX(Insumos_Unidade,MATCH("Ovomaltine",Insumos_Ingrediente,0)),"")</f>
        <v>g</v>
      </c>
      <c r="D13" s="19" t="n">
        <f aca="false">IFERROR(IF($C13="un",INDEX(Insumos_CustoUnit,MATCH("Ovomaltine",Insumos_Ingrediente,0)),INDEX(Insumos_CustoUnit,MATCH("Ovomaltine",Insumos_Ingrediente,0))*1000),0)</f>
        <v>53.2</v>
      </c>
      <c r="E13" s="42" t="str">
        <f aca="false">IF($C13="g","30g",IF($C13="ml","30ml","1 unidade"))</f>
        <v>30g</v>
      </c>
      <c r="F13" s="39" t="n">
        <v>3</v>
      </c>
    </row>
    <row r="14" customFormat="false" ht="15" hidden="false" customHeight="true" outlineLevel="0" collapsed="false">
      <c r="A14" s="18" t="s">
        <v>107</v>
      </c>
      <c r="B14" s="35" t="str">
        <f aca="false">IFERROR(IF(INDEX(Insumos_Fornecedor,MATCH("Amendoim Granulado",Insumos_Ingrediente,0))=0,"",INDEX(Insumos_Fornecedor,MATCH("Amendoim Granulado",Insumos_Ingrediente,0))),"")</f>
        <v/>
      </c>
      <c r="C14" s="35" t="str">
        <f aca="false">IFERROR(INDEX(Insumos_Unidade,MATCH("Amendoim Granulado",Insumos_Ingrediente,0)),"")</f>
        <v>g</v>
      </c>
      <c r="D14" s="19" t="n">
        <f aca="false">IFERROR(IF($C14="un",INDEX(Insumos_CustoUnit,MATCH("Amendoim Granulado",Insumos_Ingrediente,0)),INDEX(Insumos_CustoUnit,MATCH("Amendoim Granulado",Insumos_Ingrediente,0))*1000),0)</f>
        <v>20.34</v>
      </c>
      <c r="E14" s="42" t="str">
        <f aca="false">IF($C14="g","30g",IF($C14="ml","30ml","1 unidade"))</f>
        <v>30g</v>
      </c>
      <c r="F14" s="39" t="n">
        <v>3</v>
      </c>
    </row>
    <row r="15" customFormat="false" ht="15" hidden="false" customHeight="true" outlineLevel="0" collapsed="false">
      <c r="A15" s="18" t="s">
        <v>108</v>
      </c>
      <c r="B15" s="35" t="str">
        <f aca="false">IFERROR(IF(INDEX(Insumos_Fornecedor,MATCH("Pastilha de Chocolate",Insumos_Ingrediente,0))=0,"",INDEX(Insumos_Fornecedor,MATCH("Pastilha de Chocolate",Insumos_Ingrediente,0))),"")</f>
        <v/>
      </c>
      <c r="C15" s="35" t="str">
        <f aca="false">IFERROR(INDEX(Insumos_Unidade,MATCH("Pastilha de Chocolate",Insumos_Ingrediente,0)),"")</f>
        <v>g</v>
      </c>
      <c r="D15" s="19" t="n">
        <f aca="false">IFERROR(IF($C15="un",INDEX(Insumos_CustoUnit,MATCH("Pastilha de Chocolate",Insumos_Ingrediente,0)),INDEX(Insumos_CustoUnit,MATCH("Pastilha de Chocolate",Insumos_Ingrediente,0))*1000),0)</f>
        <v>29.59</v>
      </c>
      <c r="E15" s="42" t="str">
        <f aca="false">IF($C15="g","30g",IF($C15="ml","30ml","1 unidade"))</f>
        <v>30g</v>
      </c>
      <c r="F15" s="39" t="n">
        <v>3</v>
      </c>
    </row>
    <row r="16" customFormat="false" ht="15" hidden="false" customHeight="true" outlineLevel="0" collapsed="false">
      <c r="A16" s="18" t="s">
        <v>117</v>
      </c>
      <c r="B16" s="35" t="str">
        <f aca="false">IFERROR(IF(INDEX(Insumos_Fornecedor,MATCH("Canudo Wafer",Insumos_Ingrediente,0))=0,"",INDEX(Insumos_Fornecedor,MATCH("Canudo Wafer",Insumos_Ingrediente,0))),"")</f>
        <v/>
      </c>
      <c r="C16" s="35" t="str">
        <f aca="false">IFERROR(INDEX(Insumos_Unidade,MATCH("Canudo Wafer",Insumos_Ingrediente,0)),"")</f>
        <v>un</v>
      </c>
      <c r="D16" s="19" t="n">
        <f aca="false">IFERROR(IF($C16="un",INDEX(Insumos_CustoUnit,MATCH("Canudo Wafer",Insumos_Ingrediente,0)),INDEX(Insumos_CustoUnit,MATCH("Canudo Wafer",Insumos_Ingrediente,0))*1000),0)</f>
        <v>0</v>
      </c>
      <c r="E16" s="42" t="str">
        <f aca="false">IF($C16="g","30g",IF($C16="ml","30ml","1 unidade"))</f>
        <v>1 unidade</v>
      </c>
      <c r="F16" s="39" t="n">
        <v>3</v>
      </c>
    </row>
    <row r="18" customFormat="false" ht="21.75" hidden="false" customHeight="true" outlineLevel="0" collapsed="false">
      <c r="A18" s="59" t="s">
        <v>323</v>
      </c>
      <c r="B18" s="59"/>
      <c r="C18" s="59"/>
      <c r="D18" s="59"/>
      <c r="E18" s="59"/>
      <c r="F18" s="59"/>
    </row>
    <row r="19" customFormat="false" ht="30" hidden="false" customHeight="true" outlineLevel="0" collapsed="false">
      <c r="A19" s="27" t="s">
        <v>33</v>
      </c>
      <c r="B19" s="27" t="s">
        <v>78</v>
      </c>
      <c r="C19" s="27" t="s">
        <v>79</v>
      </c>
      <c r="D19" s="27" t="s">
        <v>321</v>
      </c>
      <c r="E19" s="27" t="s">
        <v>322</v>
      </c>
      <c r="F19" s="27" t="s">
        <v>84</v>
      </c>
    </row>
    <row r="20" customFormat="false" ht="15" hidden="false" customHeight="true" outlineLevel="0" collapsed="false">
      <c r="A20" s="18" t="s">
        <v>109</v>
      </c>
      <c r="B20" s="35" t="str">
        <f aca="false">IFERROR(IF(INDEX(Insumos_Fornecedor,MATCH("Calda de Morango",Insumos_Ingrediente,0))=0,"",INDEX(Insumos_Fornecedor,MATCH("Calda de Morango",Insumos_Ingrediente,0))),"")</f>
        <v/>
      </c>
      <c r="C20" s="35" t="str">
        <f aca="false">IFERROR(INDEX(Insumos_Unidade,MATCH("Calda de Morango",Insumos_Ingrediente,0)),"")</f>
        <v>ml</v>
      </c>
      <c r="D20" s="19" t="n">
        <f aca="false">IFERROR(IF($C20="un",INDEX(Insumos_CustoUnit,MATCH("Calda de Morango",Insumos_Ingrediente,0)),INDEX(Insumos_CustoUnit,MATCH("Calda de Morango",Insumos_Ingrediente,0))*1000),0)</f>
        <v>0</v>
      </c>
      <c r="E20" s="42" t="str">
        <f aca="false">IF($C20="g","30g",IF($C20="ml","30ml","1 unidade"))</f>
        <v>30ml</v>
      </c>
      <c r="F20" s="39" t="n">
        <v>5</v>
      </c>
    </row>
    <row r="21" customFormat="false" ht="15" hidden="false" customHeight="true" outlineLevel="0" collapsed="false">
      <c r="A21" s="18" t="s">
        <v>111</v>
      </c>
      <c r="B21" s="35" t="str">
        <f aca="false">IFERROR(IF(INDEX(Insumos_Fornecedor,MATCH("Calda de Maracujá",Insumos_Ingrediente,0))=0,"",INDEX(Insumos_Fornecedor,MATCH("Calda de Maracujá",Insumos_Ingrediente,0))),"")</f>
        <v/>
      </c>
      <c r="C21" s="35" t="str">
        <f aca="false">IFERROR(INDEX(Insumos_Unidade,MATCH("Calda de Maracujá",Insumos_Ingrediente,0)),"")</f>
        <v>ml</v>
      </c>
      <c r="D21" s="19" t="n">
        <f aca="false">IFERROR(IF($C21="un",INDEX(Insumos_CustoUnit,MATCH("Calda de Maracujá",Insumos_Ingrediente,0)),INDEX(Insumos_CustoUnit,MATCH("Calda de Maracujá",Insumos_Ingrediente,0))*1000),0)</f>
        <v>0</v>
      </c>
      <c r="E21" s="42" t="str">
        <f aca="false">IF($C21="g","30g",IF($C21="ml","30ml","1 unidade"))</f>
        <v>30ml</v>
      </c>
      <c r="F21" s="39" t="n">
        <v>5</v>
      </c>
    </row>
    <row r="22" customFormat="false" ht="15" hidden="false" customHeight="true" outlineLevel="0" collapsed="false">
      <c r="A22" s="18" t="s">
        <v>112</v>
      </c>
      <c r="B22" s="35" t="str">
        <f aca="false">IFERROR(IF(INDEX(Insumos_Fornecedor,MATCH("Calda de Avelã",Insumos_Ingrediente,0))=0,"",INDEX(Insumos_Fornecedor,MATCH("Calda de Avelã",Insumos_Ingrediente,0))),"")</f>
        <v/>
      </c>
      <c r="C22" s="35" t="str">
        <f aca="false">IFERROR(INDEX(Insumos_Unidade,MATCH("Calda de Avelã",Insumos_Ingrediente,0)),"")</f>
        <v>ml</v>
      </c>
      <c r="D22" s="19" t="n">
        <f aca="false">IFERROR(IF($C22="un",INDEX(Insumos_CustoUnit,MATCH("Calda de Avelã",Insumos_Ingrediente,0)),INDEX(Insumos_CustoUnit,MATCH("Calda de Avelã",Insumos_Ingrediente,0))*1000),0)</f>
        <v>0</v>
      </c>
      <c r="E22" s="42" t="str">
        <f aca="false">IF($C22="g","30g",IF($C22="ml","30ml","1 unidade"))</f>
        <v>30ml</v>
      </c>
      <c r="F22" s="39" t="n">
        <v>5</v>
      </c>
    </row>
    <row r="23" customFormat="false" ht="15" hidden="false" customHeight="true" outlineLevel="0" collapsed="false">
      <c r="A23" s="18" t="s">
        <v>113</v>
      </c>
      <c r="B23" s="35" t="str">
        <f aca="false">IFERROR(IF(INDEX(Insumos_Fornecedor,MATCH("Mel",Insumos_Ingrediente,0))=0,"",INDEX(Insumos_Fornecedor,MATCH("Mel",Insumos_Ingrediente,0))),"")</f>
        <v/>
      </c>
      <c r="C23" s="35" t="str">
        <f aca="false">IFERROR(INDEX(Insumos_Unidade,MATCH("Mel",Insumos_Ingrediente,0)),"")</f>
        <v>ml</v>
      </c>
      <c r="D23" s="19" t="n">
        <f aca="false">IFERROR(IF($C23="un",INDEX(Insumos_CustoUnit,MATCH("Mel",Insumos_Ingrediente,0)),INDEX(Insumos_CustoUnit,MATCH("Mel",Insumos_Ingrediente,0))*1000),0)</f>
        <v>0</v>
      </c>
      <c r="E23" s="42" t="str">
        <f aca="false">IF($C23="g","30g",IF($C23="ml","30ml","1 unidade"))</f>
        <v>30ml</v>
      </c>
      <c r="F23" s="39" t="n">
        <v>5</v>
      </c>
    </row>
    <row r="25" customFormat="false" ht="21.75" hidden="false" customHeight="true" outlineLevel="0" collapsed="false">
      <c r="A25" s="59" t="s">
        <v>324</v>
      </c>
      <c r="B25" s="59"/>
      <c r="C25" s="59"/>
      <c r="D25" s="59"/>
      <c r="E25" s="59"/>
      <c r="F25" s="59"/>
    </row>
    <row r="26" customFormat="false" ht="30" hidden="false" customHeight="true" outlineLevel="0" collapsed="false">
      <c r="A26" s="27" t="s">
        <v>33</v>
      </c>
      <c r="B26" s="27" t="s">
        <v>78</v>
      </c>
      <c r="C26" s="27" t="s">
        <v>79</v>
      </c>
      <c r="D26" s="27" t="s">
        <v>321</v>
      </c>
      <c r="E26" s="27" t="s">
        <v>322</v>
      </c>
      <c r="F26" s="27" t="s">
        <v>84</v>
      </c>
    </row>
    <row r="27" customFormat="false" ht="15" hidden="false" customHeight="true" outlineLevel="0" collapsed="false">
      <c r="A27" s="18" t="s">
        <v>114</v>
      </c>
      <c r="B27" s="35" t="str">
        <f aca="false">IFERROR(IF(INDEX(Insumos_Fornecedor,MATCH("Whey Protein",Insumos_Ingrediente,0))=0,"",INDEX(Insumos_Fornecedor,MATCH("Whey Protein",Insumos_Ingrediente,0))),"")</f>
        <v/>
      </c>
      <c r="C27" s="35" t="str">
        <f aca="false">IFERROR(INDEX(Insumos_Unidade,MATCH("Whey Protein",Insumos_Ingrediente,0)),"")</f>
        <v>g</v>
      </c>
      <c r="D27" s="19" t="n">
        <f aca="false">IFERROR(IF($C27="un",INDEX(Insumos_CustoUnit,MATCH("Whey Protein",Insumos_Ingrediente,0)),INDEX(Insumos_CustoUnit,MATCH("Whey Protein",Insumos_Ingrediente,0))*1000),0)</f>
        <v>0</v>
      </c>
      <c r="E27" s="42" t="str">
        <f aca="false">IF($C27="g","30g",IF($C27="ml","30ml","1 unidade"))</f>
        <v>30g</v>
      </c>
      <c r="F27" s="39" t="n">
        <v>7</v>
      </c>
    </row>
    <row r="28" customFormat="false" ht="15" hidden="false" customHeight="true" outlineLevel="0" collapsed="false">
      <c r="A28" s="18" t="s">
        <v>115</v>
      </c>
      <c r="B28" s="35" t="str">
        <f aca="false">IFERROR(IF(INDEX(Insumos_Fornecedor,MATCH("Nutella",Insumos_Ingrediente,0))=0,"",INDEX(Insumos_Fornecedor,MATCH("Nutella",Insumos_Ingrediente,0))),"")</f>
        <v/>
      </c>
      <c r="C28" s="35" t="str">
        <f aca="false">IFERROR(INDEX(Insumos_Unidade,MATCH("Nutella",Insumos_Ingrediente,0)),"")</f>
        <v>g</v>
      </c>
      <c r="D28" s="19" t="n">
        <f aca="false">IFERROR(IF($C28="un",INDEX(Insumos_CustoUnit,MATCH("Nutella",Insumos_Ingrediente,0)),INDEX(Insumos_CustoUnit,MATCH("Nutella",Insumos_Ingrediente,0))*1000),0)</f>
        <v>0</v>
      </c>
      <c r="E28" s="42" t="str">
        <f aca="false">IF($C28="g","30g",IF($C28="ml","30ml","1 unidade"))</f>
        <v>30g</v>
      </c>
      <c r="F28" s="39" t="n">
        <v>7</v>
      </c>
    </row>
    <row r="29" customFormat="false" ht="15" hidden="false" customHeight="true" outlineLevel="0" collapsed="false">
      <c r="A29" s="18" t="s">
        <v>116</v>
      </c>
      <c r="B29" s="35" t="str">
        <f aca="false">IFERROR(IF(INDEX(Insumos_Fornecedor,MATCH("Pasta de Amendoim",Insumos_Ingrediente,0))=0,"",INDEX(Insumos_Fornecedor,MATCH("Pasta de Amendoim",Insumos_Ingrediente,0))),"")</f>
        <v/>
      </c>
      <c r="C29" s="35" t="str">
        <f aca="false">IFERROR(INDEX(Insumos_Unidade,MATCH("Pasta de Amendoim",Insumos_Ingrediente,0)),"")</f>
        <v>g</v>
      </c>
      <c r="D29" s="19" t="n">
        <f aca="false">IFERROR(IF($C29="un",INDEX(Insumos_CustoUnit,MATCH("Pasta de Amendoim",Insumos_Ingrediente,0)),INDEX(Insumos_CustoUnit,MATCH("Pasta de Amendoim",Insumos_Ingrediente,0))*1000),0)</f>
        <v>0</v>
      </c>
      <c r="E29" s="42" t="str">
        <f aca="false">IF($C29="g","30g",IF($C29="ml","30ml","1 unidade"))</f>
        <v>30g</v>
      </c>
      <c r="F29" s="39" t="n">
        <v>7</v>
      </c>
    </row>
  </sheetData>
  <mergeCells count="5">
    <mergeCell ref="A1:F1"/>
    <mergeCell ref="A2:F2"/>
    <mergeCell ref="A4:F4"/>
    <mergeCell ref="A18:F18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1457"/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3"/>
  </cols>
  <sheetData>
    <row r="1" customFormat="false" ht="25.5" hidden="false" customHeight="true" outlineLevel="0" collapsed="false">
      <c r="A1" s="13" t="s">
        <v>325</v>
      </c>
      <c r="B1" s="13"/>
      <c r="C1" s="13"/>
      <c r="D1" s="13"/>
      <c r="E1" s="13"/>
    </row>
    <row r="2" customFormat="false" ht="30" hidden="false" customHeight="true" outlineLevel="0" collapsed="false">
      <c r="A2" s="14" t="s">
        <v>326</v>
      </c>
      <c r="B2" s="14"/>
      <c r="C2" s="14"/>
      <c r="D2" s="14"/>
      <c r="E2" s="14"/>
    </row>
    <row r="4" customFormat="false" ht="21.75" hidden="false" customHeight="true" outlineLevel="0" collapsed="false">
      <c r="A4" s="15" t="s">
        <v>33</v>
      </c>
      <c r="B4" s="16" t="s">
        <v>327</v>
      </c>
      <c r="C4" s="16"/>
      <c r="D4" s="16"/>
      <c r="E4" s="16"/>
    </row>
    <row r="5" customFormat="false" ht="27.75" hidden="false" customHeight="true" outlineLevel="0" collapsed="false">
      <c r="A5" s="15"/>
      <c r="B5" s="17" t="s">
        <v>37</v>
      </c>
      <c r="C5" s="17" t="s">
        <v>38</v>
      </c>
      <c r="D5" s="17" t="s">
        <v>39</v>
      </c>
      <c r="E5" s="17" t="s">
        <v>40</v>
      </c>
    </row>
    <row r="6" customFormat="false" ht="15" hidden="false" customHeight="true" outlineLevel="0" collapsed="false">
      <c r="A6" s="18" t="s">
        <v>211</v>
      </c>
      <c r="B6" s="19" t="n">
        <f aca="false">IFERROR(INDEX(Receitas_PrecoPraticado,MATCH("Milkshake Morango",Receitas_Produto,0)),"")</f>
        <v>18</v>
      </c>
      <c r="C6" s="19" t="n">
        <f aca="false">IFERROR(INDEX(Receitas_CustoTotalUnit,MATCH("Milkshake Morango",Receitas_Produto,0)),"")</f>
        <v>10.3349788087056</v>
      </c>
      <c r="D6" s="20" t="n">
        <f aca="false">IFERROR(INDEX(Receitas_CMV,MATCH("Milkshake Morango",Receitas_Produto,0)),"")</f>
        <v>0.162594501718213</v>
      </c>
      <c r="E6" s="20" t="n">
        <f aca="false">IFERROR(INDEX(Receitas_Margem,MATCH("Milkshake Morango",Receitas_Produto,0)),"")</f>
        <v>0.220834510627466</v>
      </c>
    </row>
    <row r="7" customFormat="false" ht="15" hidden="false" customHeight="true" outlineLevel="0" collapsed="false">
      <c r="A7" s="18" t="s">
        <v>212</v>
      </c>
      <c r="B7" s="19" t="n">
        <f aca="false">IFERROR(INDEX(Receitas_PrecoPraticado,MATCH("Milkshake Maracujá",Receitas_Produto,0)),"")</f>
        <v>18</v>
      </c>
      <c r="C7" s="19" t="n">
        <f aca="false">IFERROR(INDEX(Receitas_CustoTotalUnit,MATCH("Milkshake Maracujá",Receitas_Produto,0)),"")</f>
        <v>10.3349788087056</v>
      </c>
      <c r="D7" s="20" t="n">
        <f aca="false">IFERROR(INDEX(Receitas_CMV,MATCH("Milkshake Maracujá",Receitas_Produto,0)),"")</f>
        <v>0.162594501718213</v>
      </c>
      <c r="E7" s="20" t="n">
        <f aca="false">IFERROR(INDEX(Receitas_Margem,MATCH("Milkshake Maracujá",Receitas_Produto,0)),"")</f>
        <v>0.220834510627466</v>
      </c>
    </row>
    <row r="8" customFormat="false" ht="15" hidden="false" customHeight="true" outlineLevel="0" collapsed="false">
      <c r="A8" s="18" t="s">
        <v>213</v>
      </c>
      <c r="B8" s="19" t="n">
        <f aca="false">IFERROR(INDEX(Receitas_PrecoPraticado,MATCH("Milkshake Leite em Pó com Nutella",Receitas_Produto,0)),"")</f>
        <v>20</v>
      </c>
      <c r="C8" s="19" t="n">
        <f aca="false">IFERROR(INDEX(Receitas_CustoTotalUnit,MATCH("Milkshake Leite em Pó com Nutella",Receitas_Produto,0)),"")</f>
        <v>11.372607674685</v>
      </c>
      <c r="D8" s="20" t="n">
        <f aca="false">IFERROR(INDEX(Receitas_CMV,MATCH("Milkshake Leite em Pó com Nutella",Receitas_Produto,0)),"")</f>
        <v>0.198216494845361</v>
      </c>
      <c r="E8" s="20" t="n">
        <f aca="false">IFERROR(INDEX(Receitas_Margem,MATCH("Milkshake Leite em Pó com Nutella",Receitas_Produto,0)),"")</f>
        <v>0.22636961626575</v>
      </c>
    </row>
    <row r="9" customFormat="false" ht="15" hidden="false" customHeight="true" outlineLevel="0" collapsed="false">
      <c r="A9" s="18" t="s">
        <v>214</v>
      </c>
      <c r="B9" s="19" t="n">
        <f aca="false">IFERROR(INDEX(Receitas_PrecoPraticado,MATCH("Milkshake Crocante com Ovomaltine",Receitas_Produto,0)),"")</f>
        <v>20</v>
      </c>
      <c r="C9" s="19" t="n">
        <f aca="false">IFERROR(INDEX(Receitas_CustoTotalUnit,MATCH("Milkshake Crocante com Ovomaltine",Receitas_Produto,0)),"")</f>
        <v>11.9803396334479</v>
      </c>
      <c r="D9" s="20" t="n">
        <f aca="false">IFERROR(INDEX(Receitas_CMV,MATCH("Milkshake Crocante com Ovomaltine",Receitas_Produto,0)),"")</f>
        <v>0.228603092783505</v>
      </c>
      <c r="E9" s="20" t="n">
        <f aca="false">IFERROR(INDEX(Receitas_Margem,MATCH("Milkshake Crocante com Ovomaltine",Receitas_Produto,0)),"")</f>
        <v>0.195983018327606</v>
      </c>
    </row>
    <row r="10" customFormat="false" ht="15" hidden="false" customHeight="true" outlineLevel="0" collapsed="false">
      <c r="A10" s="18" t="s">
        <v>215</v>
      </c>
      <c r="B10" s="19" t="n">
        <f aca="false">IFERROR(INDEX(Receitas_PrecoPraticado,MATCH("Power Shake",Receitas_Produto,0)),"")</f>
        <v>22</v>
      </c>
      <c r="C10" s="19" t="n">
        <f aca="false">IFERROR(INDEX(Receitas_CustoTotalUnit,MATCH("Power Shake",Receitas_Produto,0)),"")</f>
        <v>11.6441540664376</v>
      </c>
      <c r="D10" s="20" t="n">
        <f aca="false">IFERROR(INDEX(Receitas_CMV,MATCH("Power Shake",Receitas_Produto,0)),"")</f>
        <v>0.192539831302718</v>
      </c>
      <c r="E10" s="20" t="n">
        <f aca="false">IFERROR(INDEX(Receitas_Margem,MATCH("Power Shake",Receitas_Produto,0)),"")</f>
        <v>0.265720269707383</v>
      </c>
    </row>
    <row r="11" customFormat="false" ht="15" hidden="false" customHeight="true" outlineLevel="0" collapsed="false">
      <c r="A11" s="18" t="s">
        <v>216</v>
      </c>
      <c r="B11" s="19" t="n">
        <f aca="false">IFERROR(INDEX(Receitas_PrecoPraticado,MATCH("Protein Shake",Receitas_Produto,0)),"")</f>
        <v>24</v>
      </c>
      <c r="C11" s="19" t="n">
        <f aca="false">IFERROR(INDEX(Receitas_CustoTotalUnit,MATCH("Protein Shake",Receitas_Produto,0)),"")</f>
        <v>10.3349788087056</v>
      </c>
      <c r="D11" s="20" t="n">
        <f aca="false">IFERROR(INDEX(Receitas_CMV,MATCH("Protein Shake",Receitas_Produto,0)),"")</f>
        <v>0.12194587628866</v>
      </c>
      <c r="E11" s="20" t="n">
        <f aca="false">IFERROR(INDEX(Receitas_Margem,MATCH("Protein Shake",Receitas_Produto,0)),"")</f>
        <v>0.3643758829706</v>
      </c>
    </row>
  </sheetData>
  <mergeCells count="4">
    <mergeCell ref="A1:E1"/>
    <mergeCell ref="A2:E2"/>
    <mergeCell ref="A4:A5"/>
    <mergeCell ref="B4:E4"/>
  </mergeCells>
  <conditionalFormatting sqref="E6:E11">
    <cfRule type="expression" priority="2" aboveAverage="0" equalAverage="0" bottom="0" percent="0" rank="0" text="" dxfId="0">
      <formula>AND(ISNUMBER(E6),E6&gt;=MargemLiquidaDesejada)</formula>
    </cfRule>
    <cfRule type="expression" priority="3" aboveAverage="0" equalAverage="0" bottom="0" percent="0" rank="0" text="" dxfId="1">
      <formula>AND(ISNUMBER(E6),E6&lt;MargemLiquidaDesejada,E6&gt;=MargemLiquidaDesejada*0.8)</formula>
    </cfRule>
    <cfRule type="expression" priority="4" aboveAverage="0" equalAverage="0" bottom="0" percent="0" rank="0" text="" dxfId="2">
      <formula>AND(ISNUMBER(E6),E6&lt;MargemLiquidaDesejada*0.8)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77BD"/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3"/>
  </cols>
  <sheetData>
    <row r="1" customFormat="false" ht="25.5" hidden="false" customHeight="true" outlineLevel="0" collapsed="false">
      <c r="A1" s="13" t="s">
        <v>328</v>
      </c>
      <c r="B1" s="13"/>
      <c r="C1" s="13"/>
      <c r="D1" s="13"/>
      <c r="E1" s="13"/>
    </row>
    <row r="2" customFormat="false" ht="30" hidden="false" customHeight="true" outlineLevel="0" collapsed="false">
      <c r="A2" s="14" t="s">
        <v>329</v>
      </c>
      <c r="B2" s="14"/>
      <c r="C2" s="14"/>
      <c r="D2" s="14"/>
      <c r="E2" s="14"/>
    </row>
    <row r="4" customFormat="false" ht="21.75" hidden="false" customHeight="true" outlineLevel="0" collapsed="false">
      <c r="A4" s="15" t="s">
        <v>33</v>
      </c>
      <c r="B4" s="16" t="s">
        <v>327</v>
      </c>
      <c r="C4" s="16"/>
      <c r="D4" s="16"/>
      <c r="E4" s="16"/>
    </row>
    <row r="5" customFormat="false" ht="27.75" hidden="false" customHeight="true" outlineLevel="0" collapsed="false">
      <c r="A5" s="15"/>
      <c r="B5" s="17" t="s">
        <v>37</v>
      </c>
      <c r="C5" s="17" t="s">
        <v>38</v>
      </c>
      <c r="D5" s="17" t="s">
        <v>39</v>
      </c>
      <c r="E5" s="17" t="s">
        <v>40</v>
      </c>
    </row>
    <row r="6" customFormat="false" ht="15" hidden="false" customHeight="true" outlineLevel="0" collapsed="false">
      <c r="A6" s="18" t="s">
        <v>145</v>
      </c>
      <c r="B6" s="19" t="n">
        <f aca="false">IFERROR(INDEX(Receitas_PrecoPraticado,MATCH("Água sem Gás 500ml",Receitas_Produto,0)),"")</f>
        <v>4</v>
      </c>
      <c r="C6" s="19" t="n">
        <f aca="false">IFERROR(INDEX(Receitas_CustoTotalUnit,MATCH("Água sem Gás 500ml",Receitas_Produto,0)),"")</f>
        <v>7.40827777777778</v>
      </c>
      <c r="D6" s="20" t="n">
        <f aca="false">IFERROR(INDEX(Receitas_CMV,MATCH("Água sem Gás 500ml",Receitas_Produto,0)),"")</f>
        <v>0</v>
      </c>
      <c r="E6" s="20" t="n">
        <f aca="false">IFERROR(INDEX(Receitas_Margem,MATCH("Água sem Gás 500ml",Receitas_Produto,0)),"")</f>
        <v>-1.05706944444444</v>
      </c>
    </row>
    <row r="7" customFormat="false" ht="15" hidden="false" customHeight="true" outlineLevel="0" collapsed="false">
      <c r="A7" s="18" t="s">
        <v>147</v>
      </c>
      <c r="B7" s="19" t="n">
        <f aca="false">IFERROR(INDEX(Receitas_PrecoPraticado,MATCH("Água com Gás 500ml",Receitas_Produto,0)),"")</f>
        <v>4.5</v>
      </c>
      <c r="C7" s="19" t="n">
        <f aca="false">IFERROR(INDEX(Receitas_CustoTotalUnit,MATCH("Água com Gás 500ml",Receitas_Produto,0)),"")</f>
        <v>7.40827777777778</v>
      </c>
      <c r="D7" s="20" t="n">
        <f aca="false">IFERROR(INDEX(Receitas_CMV,MATCH("Água com Gás 500ml",Receitas_Produto,0)),"")</f>
        <v>0</v>
      </c>
      <c r="E7" s="20" t="n">
        <f aca="false">IFERROR(INDEX(Receitas_Margem,MATCH("Água com Gás 500ml",Receitas_Produto,0)),"")</f>
        <v>-0.851283950617284</v>
      </c>
    </row>
    <row r="8" customFormat="false" ht="15" hidden="false" customHeight="true" outlineLevel="0" collapsed="false">
      <c r="A8" s="18" t="s">
        <v>148</v>
      </c>
      <c r="B8" s="19" t="n">
        <f aca="false">IFERROR(INDEX(Receitas_PrecoPraticado,MATCH("Água de Coco 200ml",Receitas_Produto,0)),"")</f>
        <v>3.5</v>
      </c>
      <c r="C8" s="19" t="n">
        <f aca="false">IFERROR(INDEX(Receitas_CustoTotalUnit,MATCH("Água de Coco 200ml",Receitas_Produto,0)),"")</f>
        <v>7.40827777777778</v>
      </c>
      <c r="D8" s="20" t="n">
        <f aca="false">IFERROR(INDEX(Receitas_CMV,MATCH("Água de Coco 200ml",Receitas_Produto,0)),"")</f>
        <v>0</v>
      </c>
      <c r="E8" s="20" t="n">
        <f aca="false">IFERROR(INDEX(Receitas_Margem,MATCH("Água de Coco 200ml",Receitas_Produto,0)),"")</f>
        <v>-1.32165079365079</v>
      </c>
    </row>
    <row r="9" customFormat="false" ht="15" hidden="false" customHeight="true" outlineLevel="0" collapsed="false">
      <c r="A9" s="18" t="s">
        <v>149</v>
      </c>
      <c r="B9" s="19" t="n">
        <f aca="false">IFERROR(INDEX(Receitas_PrecoPraticado,MATCH("Refrigerante Lata 350ml",Receitas_Produto,0)),"")</f>
        <v>3</v>
      </c>
      <c r="C9" s="19" t="n">
        <f aca="false">IFERROR(INDEX(Receitas_CustoTotalUnit,MATCH("Refrigerante Lata 350ml",Receitas_Produto,0)),"")</f>
        <v>7.40827777777778</v>
      </c>
      <c r="D9" s="20" t="n">
        <f aca="false">IFERROR(INDEX(Receitas_CMV,MATCH("Refrigerante Lata 350ml",Receitas_Produto,0)),"")</f>
        <v>0</v>
      </c>
      <c r="E9" s="20" t="n">
        <f aca="false">IFERROR(INDEX(Receitas_Margem,MATCH("Refrigerante Lata 350ml",Receitas_Produto,0)),"")</f>
        <v>-1.67442592592593</v>
      </c>
    </row>
    <row r="10" customFormat="false" ht="15" hidden="false" customHeight="true" outlineLevel="0" collapsed="false">
      <c r="A10" s="18" t="s">
        <v>150</v>
      </c>
      <c r="B10" s="19" t="n">
        <f aca="false">IFERROR(INDEX(Receitas_PrecoPraticado,MATCH("Refrigerante 600ml",Receitas_Produto,0)),"")</f>
        <v>5</v>
      </c>
      <c r="C10" s="19" t="n">
        <f aca="false">IFERROR(INDEX(Receitas_CustoTotalUnit,MATCH("Refrigerante 600ml",Receitas_Produto,0)),"")</f>
        <v>7.40827777777778</v>
      </c>
      <c r="D10" s="20" t="n">
        <f aca="false">IFERROR(INDEX(Receitas_CMV,MATCH("Refrigerante 600ml",Receitas_Produto,0)),"")</f>
        <v>0</v>
      </c>
      <c r="E10" s="20" t="n">
        <f aca="false">IFERROR(INDEX(Receitas_Margem,MATCH("Refrigerante 600ml",Receitas_Produto,0)),"")</f>
        <v>-0.686655555555556</v>
      </c>
    </row>
    <row r="11" customFormat="false" ht="15" hidden="false" customHeight="true" outlineLevel="0" collapsed="false">
      <c r="A11" s="18" t="s">
        <v>151</v>
      </c>
      <c r="B11" s="19" t="n">
        <f aca="false">IFERROR(INDEX(Receitas_PrecoPraticado,MATCH("Isotônico 500ml",Receitas_Produto,0)),"")</f>
        <v>6</v>
      </c>
      <c r="C11" s="19" t="n">
        <f aca="false">IFERROR(INDEX(Receitas_CustoTotalUnit,MATCH("Isotônico 500ml",Receitas_Produto,0)),"")</f>
        <v>7.40827777777778</v>
      </c>
      <c r="D11" s="20" t="n">
        <f aca="false">IFERROR(INDEX(Receitas_CMV,MATCH("Isotônico 500ml",Receitas_Produto,0)),"")</f>
        <v>0</v>
      </c>
      <c r="E11" s="20" t="n">
        <f aca="false">IFERROR(INDEX(Receitas_Margem,MATCH("Isotônico 500ml",Receitas_Produto,0)),"")</f>
        <v>-0.439712962962963</v>
      </c>
    </row>
    <row r="12" customFormat="false" ht="15" hidden="false" customHeight="true" outlineLevel="0" collapsed="false">
      <c r="A12" s="18" t="s">
        <v>152</v>
      </c>
      <c r="B12" s="19" t="n">
        <f aca="false">IFERROR(INDEX(Receitas_PrecoPraticado,MATCH("Suco Natural 300ml",Receitas_Produto,0)),"")</f>
        <v>8</v>
      </c>
      <c r="C12" s="19" t="n">
        <f aca="false">IFERROR(INDEX(Receitas_CustoTotalUnit,MATCH("Suco Natural 300ml",Receitas_Produto,0)),"")</f>
        <v>7.40827777777778</v>
      </c>
      <c r="D12" s="20" t="n">
        <f aca="false">IFERROR(INDEX(Receitas_CMV,MATCH("Suco Natural 300ml",Receitas_Produto,0)),"")</f>
        <v>0</v>
      </c>
      <c r="E12" s="20" t="n">
        <f aca="false">IFERROR(INDEX(Receitas_Margem,MATCH("Suco Natural 300ml",Receitas_Produto,0)),"")</f>
        <v>-0.131034722222222</v>
      </c>
    </row>
    <row r="13" customFormat="false" ht="15" hidden="false" customHeight="true" outlineLevel="0" collapsed="false">
      <c r="A13" s="18" t="s">
        <v>153</v>
      </c>
      <c r="B13" s="19" t="n">
        <f aca="false">IFERROR(INDEX(Receitas_PrecoPraticado,MATCH("Suco de Açaí 200ml",Receitas_Produto,0)),"")</f>
        <v>6</v>
      </c>
      <c r="C13" s="19" t="n">
        <f aca="false">IFERROR(INDEX(Receitas_CustoTotalUnit,MATCH("Suco de Açaí 200ml",Receitas_Produto,0)),"")</f>
        <v>7.40827777777778</v>
      </c>
      <c r="D13" s="20" t="n">
        <f aca="false">IFERROR(INDEX(Receitas_CMV,MATCH("Suco de Açaí 200ml",Receitas_Produto,0)),"")</f>
        <v>0</v>
      </c>
      <c r="E13" s="20" t="n">
        <f aca="false">IFERROR(INDEX(Receitas_Margem,MATCH("Suco de Açaí 200ml",Receitas_Produto,0)),"")</f>
        <v>-0.439712962962963</v>
      </c>
    </row>
  </sheetData>
  <mergeCells count="4">
    <mergeCell ref="A1:E1"/>
    <mergeCell ref="A2:E2"/>
    <mergeCell ref="A4:A5"/>
    <mergeCell ref="B4:E4"/>
  </mergeCells>
  <conditionalFormatting sqref="E6:E13">
    <cfRule type="expression" priority="2" aboveAverage="0" equalAverage="0" bottom="0" percent="0" rank="0" text="" dxfId="0">
      <formula>AND(ISNUMBER(E6),E6&gt;=MargemLiquidaDesejada)</formula>
    </cfRule>
    <cfRule type="expression" priority="3" aboveAverage="0" equalAverage="0" bottom="0" percent="0" rank="0" text="" dxfId="1">
      <formula>AND(ISNUMBER(E6),E6&lt;MargemLiquidaDesejada,E6&gt;=MargemLiquidaDesejada*0.8)</formula>
    </cfRule>
    <cfRule type="expression" priority="4" aboveAverage="0" equalAverage="0" bottom="0" percent="0" rank="0" text="" dxfId="2">
      <formula>AND(ISNUMBER(E6),E6&lt;MargemLiquidaDesejada*0.8)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2026-07-31T21:35:22Z</dcterms:created>
  <dc:creator>openpyxl</dc:creator>
  <dc:description/>
  <dc:language>en-US</dc:language>
  <cp:lastModifiedBy/>
  <dcterms:modified xsi:type="dcterms:W3CDTF">2026-08-05T16:02:24Z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